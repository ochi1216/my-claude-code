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ac09037f354a9d" /></Relationships>
</file>

<file path=xl/workbook.xml><?xml version="1.0" encoding="utf-8"?>
<x:workbook xmlns:x="http://schemas.openxmlformats.org/spreadsheetml/2006/main">
  <x:sheets>
    <x:sheet xmlns:r="http://schemas.openxmlformats.org/officeDocument/2006/relationships" name="Summary" sheetId="1" r:id="R427027e11b1f4cc5"/>
    <x:sheet xmlns:r="http://schemas.openxmlformats.org/officeDocument/2006/relationships" name="US" sheetId="2" r:id="R1667c2f7edb34972"/>
    <x:sheet xmlns:r="http://schemas.openxmlformats.org/officeDocument/2006/relationships" name="Europe" sheetId="3" r:id="Rbb20488facca4d05"/>
    <x:sheet xmlns:r="http://schemas.openxmlformats.org/officeDocument/2006/relationships" name="Japan" sheetId="4" r:id="R7d7ef54c889b4c09"/>
    <x:sheet xmlns:r="http://schemas.openxmlformats.org/officeDocument/2006/relationships" name="Asia" sheetId="5" r:id="R8b6954d8df9b439e"/>
    <x:sheet xmlns:r="http://schemas.openxmlformats.org/officeDocument/2006/relationships" name="Methodology" sheetId="6" r:id="Raa21267b79784fc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8">
    <x:font>
      <x:sz val="11"/>
      <x:name val="Carlito"/>
    </x:font>
    <x:font>
      <x:b/>
      <x:sz val="16"/>
      <x:color rgb="FFFFFFFF"/>
      <x:name val="Carlito"/>
    </x:font>
    <x:font>
      <x:i/>
      <x:sz val="11"/>
      <x:color rgb="FF1F2937"/>
      <x:name val="Carlito"/>
    </x:font>
    <x:font>
      <x:b/>
      <x:sz val="11"/>
      <x:color rgb="FFFFFFFF"/>
      <x:name val="Carlito"/>
    </x:font>
    <x:font>
      <x:sz val="9"/>
      <x:name val="Carlito"/>
    </x:font>
    <x:font>
      <x:b/>
      <x:sz val="18"/>
      <x:color rgb="FFFFFFFF"/>
      <x:name val="Carlito"/>
    </x:font>
    <x:font>
      <x:sz val="11"/>
      <x:color rgb="FF1F2937"/>
      <x:name val="Carlito"/>
    </x:font>
    <x:font>
      <x:b/>
      <x:sz val="16"/>
      <x:color rgb="FF17365D"/>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8FAFC"/>
      </x:patternFill>
    </x:fill>
  </x:fills>
  <x:borders count="2">
    <x:border/>
    <x:border/>
  </x:borders>
  <x:cellStyleXfs count="1">
    <x:xf numFmtId="0" fontId="0" fillId="0" borderId="0"/>
  </x:cellStyleXfs>
  <x:cellXfs count="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0" borderId="1" xfId="0" applyNumberFormat="1" applyFont="1" applyFill="1" applyBorder="1"/>
    <x:xf numFmtId="200" fontId="4" fillId="0" borderId="1" xfId="0" applyNumberFormat="1" applyFont="1" applyFill="1" applyBorder="1"/>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200" fontId="4" fillId="0" borderId="0" xfId="0" applyNumberFormat="1" applyFont="1" applyFill="1" applyBorder="1" applyAlignment="1">
      <x:alignment horizontal="center" vertical="top" wrapText="1"/>
    </x:xf>
    <x:xf numFmtId="200" fontId="4" fillId="0" borderId="1" xfId="0" applyNumberFormat="1" applyFont="1" applyFill="1" applyBorder="1" applyAlignment="1">
      <x:alignment horizontal="center" vertical="top"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1" xfId="0" applyNumberFormat="1" applyFont="1" applyFill="1" applyBorder="1"/>
    <x:xf numFmtId="0" fontId="5" fillId="2" borderId="1" xfId="0" applyNumberFormat="1" applyFont="1" applyFill="1" applyBorder="1" applyAlignment="1">
      <x:alignment horizontal="left"/>
    </x:xf>
    <x:xf numFmtId="0" fontId="5" fillId="2" borderId="1" xfId="0" applyNumberFormat="1" applyFont="1" applyFill="1" applyBorder="1" applyAlignment="1">
      <x:alignment horizontal="left" vertical="center"/>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1" xfId="0" applyNumberFormat="1" applyFont="1" applyFill="1" applyBorder="1"/>
    <x:xf numFmtId="0" fontId="6" fillId="3" borderId="1" xfId="0" applyNumberFormat="1" applyFont="1" applyFill="1" applyBorder="1" applyAlignment="1">
      <x:alignment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0" fillId="0" borderId="0"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dxfs count="12">
    <x:dxf>
      <x:font>
        <x:b/>
        <x:color rgb="FF166534"/>
      </x:font>
      <x:fill>
        <x:patternFill patternType="solid">
          <x:bgColor rgb="FFDCFCE7"/>
        </x:patternFill>
      </x:fill>
    </x:dxf>
    <x:dxf>
      <x:font>
        <x:b/>
        <x:color rgb="FF92400E"/>
      </x:font>
      <x:fill>
        <x:patternFill patternType="solid">
          <x:bgColor rgb="FFFEF3C7"/>
        </x:patternFill>
      </x:fill>
    </x:dxf>
    <x:dxf>
      <x:font>
        <x:color rgb="FF6B7280"/>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6B7280"/>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6B7280"/>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6B7280"/>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3a4da8f04449f8" /><Relationship Type="http://schemas.openxmlformats.org/officeDocument/2006/relationships/theme" Target="/xl/theme/theme1.xml" Id="R8ad4e7fbb9f04e96" /><Relationship Type="http://schemas.openxmlformats.org/officeDocument/2006/relationships/sharedStrings" Target="/xl/sharedStrings.xml" Id="R49352b5bb6bb47bc" /><Relationship Type="http://schemas.openxmlformats.org/officeDocument/2006/relationships/worksheet" Target="/xl/worksheets/sheet1.xml" Id="R427027e11b1f4cc5" /><Relationship Type="http://schemas.openxmlformats.org/officeDocument/2006/relationships/worksheet" Target="/xl/worksheets/sheet2.xml" Id="R1667c2f7edb34972" /><Relationship Type="http://schemas.openxmlformats.org/officeDocument/2006/relationships/worksheet" Target="/xl/worksheets/sheet3.xml" Id="Rbb20488facca4d05" /><Relationship Type="http://schemas.openxmlformats.org/officeDocument/2006/relationships/worksheet" Target="/xl/worksheets/sheet4.xml" Id="R7d7ef54c889b4c09" /><Relationship Type="http://schemas.openxmlformats.org/officeDocument/2006/relationships/worksheet" Target="/xl/worksheets/sheet5.xml" Id="R8b6954d8df9b439e" /><Relationship Type="http://schemas.openxmlformats.org/officeDocument/2006/relationships/worksheet" Target="/xl/worksheets/sheet6.xml" Id="Raa21267b79784fc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4c0a7ce32654827" /><Relationship Type="http://schemas.openxmlformats.org/officeDocument/2006/relationships/chart" Target="/xl/drawings/charts/chart2.xml" Id="R67dab72e513a41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地域別の調査企業数</a:t>
            </a:r>
          </a:p>
        </c:rich>
      </c:tx>
      <c:overlay val="0"/>
    </c:title>
    <c:autoTitleDeleted val="0"/>
    <c:plotArea>
      <c:layout/>
      <c:barChart>
        <c:barDir val="col"/>
        <c:varyColors val="0"/>
        <c:ser>
          <c:idx val="0"/>
          <c:order val="0"/>
          <c:tx>
            <c:v>企業数</c:v>
          </c:tx>
          <c:cat>
            <c:strRef>
              <c:f>'Summary'!$A$9:$A$12</c:f>
              <c:strCache>
                <c:ptCount val="0"/>
              </c:strCache>
            </c:strRef>
          </c:cat>
          <c:val>
            <c:numRef>
              <c:f>'Summary'!$B$9:$B$12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製品カテゴリ別：主要企業数</a:t>
            </a:r>
          </a:p>
        </c:rich>
      </c:tx>
      <c:overlay val="0"/>
    </c:title>
    <c:autoTitleDeleted val="0"/>
    <c:plotArea>
      <c:layout/>
      <c:barChart>
        <c:barDir val="col"/>
        <c:varyColors val="0"/>
        <c:ser>
          <c:idx val="0"/>
          <c:order val="0"/>
          <c:tx>
            <c:v>主要企業数（●）</c:v>
          </c:tx>
          <c:cat>
            <c:strRef>
              <c:f>'Summary'!$D$9:$D$17</c:f>
              <c:strCache>
                <c:ptCount val="0"/>
              </c:strCache>
            </c:strRef>
          </c:cat>
          <c:val>
            <c:numRef>
              <c:f>'Summary'!$E$9:$E$17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c0a7ce32654827"/>
        </a:graphicData>
      </a:graphic>
    </xdr:graphicFrame>
    <xdr:clientData/>
  </xdr:twoCellAnchor>
  <xdr:twoCellAnchor>
    <xdr:from>
      <xdr:col>7</xdr:col>
      <xdr:colOff>0</xdr:colOff>
      <xdr:row>14</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dab72e513a413d"/>
        </a:graphicData>
      </a:graphic>
    </xdr:graphicFrame>
    <xdr:clientData/>
  </xdr:twoCellAnchor>
</xdr:wsDr>
</file>

<file path=xl/tables/table1.xml><?xml version="1.0" encoding="utf-8"?>
<x:table xmlns:x="http://schemas.openxmlformats.org/spreadsheetml/2006/main" id="1" name="USCompaniesTable" displayName="USCompaniesTable" ref="A3:V21" headerRowCount="1">
  <x:tableColumns count="22">
    <x:tableColumn id="1" name="地域"/>
    <x:tableColumn id="2" name="国・地域"/>
    <x:tableColumn id="3" name="企業名"/>
    <x:tableColumn id="4" name="親会社・ブランド状況"/>
    <x:tableColumn id="5" name="カンパニーURL"/>
    <x:tableColumn id="6" name="公式製品URL"/>
    <x:tableColumn id="7" name="企業タイプ"/>
    <x:tableColumn id="8" name="車載対応"/>
    <x:tableColumn id="9" name="DC-DC / PMIC"/>
    <x:tableColumn id="10" name="LDO"/>
    <x:tableColumn id="11" name="LEDドライバー"/>
    <x:tableColumn id="12" name="AC-DC"/>
    <x:tableColumn id="13" name="ゲートドライバー"/>
    <x:tableColumn id="14" name="ロードスイッチ / eFuse"/>
    <x:tableColumn id="15" name="アイデアルダイオード / ORing"/>
    <x:tableColumn id="16" name="GaNパワーIC / デバイス"/>
    <x:tableColumn id="17" name="パワーディスクリート / モジュール"/>
    <x:tableColumn id="18" name="製品群幅スコア"/>
    <x:tableColumn id="19" name="主な製品群概要"/>
    <x:tableColumn id="20" name="市場での位置づけ"/>
    <x:tableColumn id="21" name="確認ソースURL"/>
    <x:tableColumn id="22" name="確認日"/>
  </x:tableColumns>
  <x:tableStyleInfo name="TableStyleMedium2" showRowStripes="1"/>
</x:table>
</file>

<file path=xl/tables/table2.xml><?xml version="1.0" encoding="utf-8"?>
<x:table xmlns:x="http://schemas.openxmlformats.org/spreadsheetml/2006/main" id="2" name="EuropeCompaniesTable" displayName="EuropeCompaniesTable" ref="A3:V17" headerRowCount="1">
  <x:tableColumns count="22">
    <x:tableColumn id="1" name="地域"/>
    <x:tableColumn id="2" name="国・地域"/>
    <x:tableColumn id="3" name="企業名"/>
    <x:tableColumn id="4" name="親会社・ブランド状況"/>
    <x:tableColumn id="5" name="カンパニーURL"/>
    <x:tableColumn id="6" name="公式製品URL"/>
    <x:tableColumn id="7" name="企業タイプ"/>
    <x:tableColumn id="8" name="車載対応"/>
    <x:tableColumn id="9" name="DC-DC / PMIC"/>
    <x:tableColumn id="10" name="LDO"/>
    <x:tableColumn id="11" name="LEDドライバー"/>
    <x:tableColumn id="12" name="AC-DC"/>
    <x:tableColumn id="13" name="ゲートドライバー"/>
    <x:tableColumn id="14" name="ロードスイッチ / eFuse"/>
    <x:tableColumn id="15" name="アイデアルダイオード / ORing"/>
    <x:tableColumn id="16" name="GaNパワーIC / デバイス"/>
    <x:tableColumn id="17" name="パワーディスクリート / モジュール"/>
    <x:tableColumn id="18" name="製品群幅スコア"/>
    <x:tableColumn id="19" name="主な製品群概要"/>
    <x:tableColumn id="20" name="市場での位置づけ"/>
    <x:tableColumn id="21" name="確認ソースURL"/>
    <x:tableColumn id="22" name="確認日"/>
  </x:tableColumns>
  <x:tableStyleInfo name="TableStyleMedium2" showRowStripes="1"/>
</x:table>
</file>

<file path=xl/tables/table3.xml><?xml version="1.0" encoding="utf-8"?>
<x:table xmlns:x="http://schemas.openxmlformats.org/spreadsheetml/2006/main" id="3" name="JapanCompaniesTable" displayName="JapanCompaniesTable" ref="A3:V15" headerRowCount="1">
  <x:tableColumns count="22">
    <x:tableColumn id="1" name="地域"/>
    <x:tableColumn id="2" name="国・地域"/>
    <x:tableColumn id="3" name="企業名"/>
    <x:tableColumn id="4" name="親会社・ブランド状況"/>
    <x:tableColumn id="5" name="カンパニーURL"/>
    <x:tableColumn id="6" name="公式製品URL"/>
    <x:tableColumn id="7" name="企業タイプ"/>
    <x:tableColumn id="8" name="車載対応"/>
    <x:tableColumn id="9" name="DC-DC / PMIC"/>
    <x:tableColumn id="10" name="LDO"/>
    <x:tableColumn id="11" name="LEDドライバー"/>
    <x:tableColumn id="12" name="AC-DC"/>
    <x:tableColumn id="13" name="ゲートドライバー"/>
    <x:tableColumn id="14" name="ロードスイッチ / eFuse"/>
    <x:tableColumn id="15" name="アイデアルダイオード / ORing"/>
    <x:tableColumn id="16" name="GaNパワーIC / デバイス"/>
    <x:tableColumn id="17" name="パワーディスクリート / モジュール"/>
    <x:tableColumn id="18" name="製品群幅スコア"/>
    <x:tableColumn id="19" name="主な製品群概要"/>
    <x:tableColumn id="20" name="市場での位置づけ"/>
    <x:tableColumn id="21" name="確認ソースURL"/>
    <x:tableColumn id="22" name="確認日"/>
  </x:tableColumns>
  <x:tableStyleInfo name="TableStyleMedium2" showRowStripes="1"/>
</x:table>
</file>

<file path=xl/tables/table4.xml><?xml version="1.0" encoding="utf-8"?>
<x:table xmlns:x="http://schemas.openxmlformats.org/spreadsheetml/2006/main" id="4" name="AsiaCompaniesTable" displayName="AsiaCompaniesTable" ref="A3:V26" headerRowCount="1">
  <x:tableColumns count="22">
    <x:tableColumn id="1" name="地域"/>
    <x:tableColumn id="2" name="国・地域"/>
    <x:tableColumn id="3" name="企業名"/>
    <x:tableColumn id="4" name="親会社・ブランド状況"/>
    <x:tableColumn id="5" name="カンパニーURL"/>
    <x:tableColumn id="6" name="公式製品URL"/>
    <x:tableColumn id="7" name="企業タイプ"/>
    <x:tableColumn id="8" name="車載対応"/>
    <x:tableColumn id="9" name="DC-DC / PMIC"/>
    <x:tableColumn id="10" name="LDO"/>
    <x:tableColumn id="11" name="LEDドライバー"/>
    <x:tableColumn id="12" name="AC-DC"/>
    <x:tableColumn id="13" name="ゲートドライバー"/>
    <x:tableColumn id="14" name="ロードスイッチ / eFuse"/>
    <x:tableColumn id="15" name="アイデアルダイオード / ORing"/>
    <x:tableColumn id="16" name="GaNパワーIC / デバイス"/>
    <x:tableColumn id="17" name="パワーディスクリート / モジュール"/>
    <x:tableColumn id="18" name="製品群幅スコア"/>
    <x:tableColumn id="19" name="主な製品群概要"/>
    <x:tableColumn id="20" name="市場での位置づけ"/>
    <x:tableColumn id="21" name="確認ソースURL"/>
    <x:tableColumn id="22" name="確認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1bfa14bcea24ff8" /></Relationships>
</file>

<file path=xl/worksheets/_rels/sheet2.xml.rels>&#65279;<?xml version="1.0" encoding="utf-8"?><Relationships xmlns="http://schemas.openxmlformats.org/package/2006/relationships"><Relationship Type="http://schemas.openxmlformats.org/officeDocument/2006/relationships/table" Target="/xl/tables/table1.xml" Id="R7df16c48bf854ab7" /></Relationships>
</file>

<file path=xl/worksheets/_rels/sheet3.xml.rels>&#65279;<?xml version="1.0" encoding="utf-8"?><Relationships xmlns="http://schemas.openxmlformats.org/package/2006/relationships"><Relationship Type="http://schemas.openxmlformats.org/officeDocument/2006/relationships/table" Target="/xl/tables/table2.xml" Id="R81d4799edf914d84" /></Relationships>
</file>

<file path=xl/worksheets/_rels/sheet4.xml.rels>&#65279;<?xml version="1.0" encoding="utf-8"?><Relationships xmlns="http://schemas.openxmlformats.org/package/2006/relationships"><Relationship Type="http://schemas.openxmlformats.org/officeDocument/2006/relationships/table" Target="/xl/tables/table3.xml" Id="R7e2091c340924cda" /></Relationships>
</file>

<file path=xl/worksheets/_rels/sheet5.xml.rels>&#65279;<?xml version="1.0" encoding="utf-8"?><Relationships xmlns="http://schemas.openxmlformats.org/package/2006/relationships"><Relationship Type="http://schemas.openxmlformats.org/officeDocument/2006/relationships/table" Target="/xl/tables/table4.xml" Id="R6557c7a2dbcc4619" /></Relationships>
</file>

<file path=xl/worksheets/sheet1.xml><?xml version="1.0" encoding="utf-8"?>
<x:worksheet xmlns:x="http://schemas.openxmlformats.org/spreadsheetml/2006/main">
  <x:sheetFormatPr defaultRowHeight="15"/>
  <x:cols>
    <x:col min="1" max="1" width="24" hidden="0" customWidth="1"/>
    <x:col min="2" max="2" width="54" hidden="0" customWidth="1"/>
    <x:col min="3" max="3" width="13" hidden="0" customWidth="1"/>
    <x:col min="4" max="4" width="30" hidden="0" customWidth="1"/>
    <x:col min="5" max="5" width="14" hidden="0" customWidth="1"/>
    <x:col min="6" max="6" width="14"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2" customHeight="1">
      <x:c r="A1" s="46" t="str">
        <x:v>グローバル アナログ／パワー半導体 競合企業ランドスケープ</x:v>
      </x:c>
      <x:c r="B1" s="46"/>
      <x:c r="C1" s="46"/>
      <x:c r="D1" s="46"/>
      <x:c r="E1" s="46"/>
      <x:c r="F1" s="46"/>
      <x:c r="G1" s="46"/>
      <x:c r="H1" s="46"/>
      <x:c r="I1" s="46"/>
      <x:c r="J1" s="46"/>
      <x:c r="K1" s="46"/>
      <x:c r="L1" s="46"/>
      <x:c r="M1" s="46"/>
      <x:c r="N1" s="46"/>
    </x:row>
    <x:row r="2" ht="28" customHeight="1">
      <x:c r="A2" s="51" t="str">
        <x:v>対象：車載・非車載の電源、LDO、LEDドライバー、AC-DC、GaN、ゲートドライバー、ロードスイッチ、理想ダイオード等｜確認日：2026-07-16</x:v>
      </x:c>
      <x:c r="B2" s="51"/>
      <x:c r="C2" s="51"/>
      <x:c r="D2" s="51"/>
      <x:c r="E2" s="51"/>
      <x:c r="F2" s="51"/>
      <x:c r="G2" s="51"/>
      <x:c r="H2" s="51"/>
      <x:c r="I2" s="51"/>
      <x:c r="J2" s="51"/>
      <x:c r="K2" s="51"/>
      <x:c r="L2" s="51"/>
      <x:c r="M2" s="51"/>
      <x:c r="N2" s="51"/>
    </x:row>
    <x:row r="4">
      <x:c r="A4" s="54" t="str">
        <x:v>総企業数</x:v>
      </x:c>
      <x:c r="B4" s="54" t="str">
        <x:v>車載対応企業</x:v>
      </x:c>
      <x:c r="C4" s="54" t="str">
        <x:v>GaN関連企業</x:v>
      </x:c>
      <x:c r="D4" s="54" t="str">
        <x:v>AC-DC関連企業</x:v>
      </x:c>
    </x:row>
    <x:row r="5" ht="28" customHeight="1">
      <x:c r="A5" s="58" t="n">
        <x:f>SUM(B9:B12)</x:f>
        <x:v>67</x:v>
      </x:c>
      <x:c r="B5" s="58" t="n">
        <x:f>COUNTIF(US!H4:H200,"●")+COUNTIF(Europe!H4:H200,"●")+COUNTIF(Japan!H4:H200,"●")+COUNTIF(Asia!H4:H200,"●")</x:f>
        <x:v>38</x:v>
      </x:c>
      <x:c r="C5" s="58" t="n">
        <x:f>COUNTIF(US!P4:P200,"●")+COUNTIF(Europe!P4:P200,"●")+COUNTIF(Japan!P4:P200,"●")+COUNTIF(Asia!P4:P200,"●")</x:f>
        <x:v>14</x:v>
      </x:c>
      <x:c r="D5" s="58" t="n">
        <x:f>COUNTIF(US!L4:L200,"●")+COUNTIF(Europe!L4:L200,"●")+COUNTIF(Japan!L4:L200,"●")+COUNTIF(Asia!L4:L200,"●")</x:f>
        <x:v>25</x:v>
      </x:c>
    </x:row>
    <x:row r="8">
      <x:c r="A8" s="54" t="str">
        <x:v>地域</x:v>
      </x:c>
      <x:c r="B8" s="54" t="str">
        <x:v>企業数</x:v>
      </x:c>
      <x:c r="D8" s="19" t="str">
        <x:v>製品カテゴリ</x:v>
      </x:c>
      <x:c r="E8" s="19" t="str">
        <x:v>主要企業数（●）</x:v>
      </x:c>
      <x:c r="F8" s="19" t="str">
        <x:v>限定企業数（△）</x:v>
      </x:c>
    </x:row>
    <x:row r="9">
      <x:c r="A9" s="62" t="str">
        <x:v>米国</x:v>
      </x:c>
      <x:c r="B9" s="63" t="n">
        <x:f>COUNTA(US!C4:C200)</x:f>
        <x:v>18</x:v>
      </x:c>
      <x:c r="D9" s="65" t="str">
        <x:v>DC-DC / PMIC</x:v>
      </x:c>
      <x:c r="E9" s="67" t="n">
        <x:f>COUNTIF(US!I4:I200,"●")+COUNTIF(Europe!I4:I200,"●")+COUNTIF(Japan!I4:I200,"●")+COUNTIF(Asia!I4:I200,"●")</x:f>
        <x:v>42</x:v>
      </x:c>
      <x:c r="F9" s="67" t="n">
        <x:f>COUNTIF(US!I4:I200,"△")+COUNTIF(Europe!I4:I200,"△")+COUNTIF(Japan!I4:I200,"△")+COUNTIF(Asia!I4:I200,"△")</x:f>
        <x:v>18</x:v>
      </x:c>
    </x:row>
    <x:row r="10">
      <x:c r="A10" s="62" t="str">
        <x:v>欧州</x:v>
      </x:c>
      <x:c r="B10" s="63" t="n">
        <x:f>COUNTA(Europe!C4:C200)</x:f>
        <x:v>14</x:v>
      </x:c>
      <x:c r="D10" s="65" t="str">
        <x:v>LDO</x:v>
      </x:c>
      <x:c r="E10" s="67" t="n">
        <x:f>COUNTIF(US!J4:J200,"●")+COUNTIF(Europe!J4:J200,"●")+COUNTIF(Japan!J4:J200,"●")+COUNTIF(Asia!J4:J200,"●")</x:f>
        <x:v>31</x:v>
      </x:c>
      <x:c r="F10" s="67" t="n">
        <x:f>COUNTIF(US!J4:J200,"△")+COUNTIF(Europe!J4:J200,"△")+COUNTIF(Japan!J4:J200,"△")+COUNTIF(Asia!J4:J200,"△")</x:f>
        <x:v>16</x:v>
      </x:c>
    </x:row>
    <x:row r="11">
      <x:c r="A11" s="62" t="str">
        <x:v>日本</x:v>
      </x:c>
      <x:c r="B11" s="63" t="n">
        <x:f>COUNTA(Japan!C4:C200)</x:f>
        <x:v>12</x:v>
      </x:c>
      <x:c r="D11" s="65" t="str">
        <x:v>LEDドライバー</x:v>
      </x:c>
      <x:c r="E11" s="67" t="n">
        <x:f>COUNTIF(US!K4:K200,"●")+COUNTIF(Europe!K4:K200,"●")+COUNTIF(Japan!K4:K200,"●")+COUNTIF(Asia!K4:K200,"●")</x:f>
        <x:v>37</x:v>
      </x:c>
      <x:c r="F11" s="67" t="n">
        <x:f>COUNTIF(US!K4:K200,"△")+COUNTIF(Europe!K4:K200,"△")+COUNTIF(Japan!K4:K200,"△")+COUNTIF(Asia!K4:K200,"△")</x:f>
        <x:v>10</x:v>
      </x:c>
    </x:row>
    <x:row r="12">
      <x:c r="A12" s="62" t="str">
        <x:v>アジア（日本除く）</x:v>
      </x:c>
      <x:c r="B12" s="63" t="n">
        <x:f>COUNTA(Asia!C4:C200)</x:f>
        <x:v>23</x:v>
      </x:c>
      <x:c r="D12" s="65" t="str">
        <x:v>AC-DC</x:v>
      </x:c>
      <x:c r="E12" s="67" t="n">
        <x:f>COUNTIF(US!L4:L200,"●")+COUNTIF(Europe!L4:L200,"●")+COUNTIF(Japan!L4:L200,"●")+COUNTIF(Asia!L4:L200,"●")</x:f>
        <x:v>25</x:v>
      </x:c>
      <x:c r="F12" s="67" t="n">
        <x:f>COUNTIF(US!L4:L200,"△")+COUNTIF(Europe!L4:L200,"△")+COUNTIF(Japan!L4:L200,"△")+COUNTIF(Asia!L4:L200,"△")</x:f>
        <x:v>14</x:v>
      </x:c>
    </x:row>
    <x:row r="13">
      <x:c r="D13" s="65" t="str">
        <x:v>ゲートドライバー</x:v>
      </x:c>
      <x:c r="E13" s="67" t="n">
        <x:f>COUNTIF(US!M4:M200,"●")+COUNTIF(Europe!M4:M200,"●")+COUNTIF(Japan!M4:M200,"●")+COUNTIF(Asia!M4:M200,"●")</x:f>
        <x:v>38</x:v>
      </x:c>
      <x:c r="F13" s="67" t="n">
        <x:f>COUNTIF(US!M4:M200,"△")+COUNTIF(Europe!M4:M200,"△")+COUNTIF(Japan!M4:M200,"△")+COUNTIF(Asia!M4:M200,"△")</x:f>
        <x:v>18</x:v>
      </x:c>
    </x:row>
    <x:row r="14">
      <x:c r="D14" s="65" t="str">
        <x:v>ロードスイッチ / eFuse</x:v>
      </x:c>
      <x:c r="E14" s="67" t="n">
        <x:f>COUNTIF(US!N4:N200,"●")+COUNTIF(Europe!N4:N200,"●")+COUNTIF(Japan!N4:N200,"●")+COUNTIF(Asia!N4:N200,"●")</x:f>
        <x:v>32</x:v>
      </x:c>
      <x:c r="F14" s="67" t="n">
        <x:f>COUNTIF(US!N4:N200,"△")+COUNTIF(Europe!N4:N200,"△")+COUNTIF(Japan!N4:N200,"△")+COUNTIF(Asia!N4:N200,"△")</x:f>
        <x:v>15</x:v>
      </x:c>
    </x:row>
    <x:row r="15">
      <x:c r="A15" s="69" t="str">
        <x:v>競合クラスター</x:v>
      </x:c>
      <x:c r="B15" s="69" t="str">
        <x:v>マーケティング上の見方</x:v>
      </x:c>
      <x:c r="D15" s="65" t="str">
        <x:v>理想ダイオード / ORing</x:v>
      </x:c>
      <x:c r="E15" s="67" t="n">
        <x:f>COUNTIF(US!O4:O200,"●")+COUNTIF(Europe!O4:O200,"●")+COUNTIF(Japan!O4:O200,"●")+COUNTIF(Asia!O4:O200,"●")</x:f>
        <x:v>7</x:v>
      </x:c>
      <x:c r="F15" s="67" t="n">
        <x:f>COUNTIF(US!O4:O200,"△")+COUNTIF(Europe!O4:O200,"△")+COUNTIF(Japan!O4:O200,"△")+COUNTIF(Asia!O4:O200,"△")</x:f>
        <x:v>17</x:v>
      </x:c>
    </x:row>
    <x:row r="16" ht="50" customHeight="1">
      <x:c r="A16" s="70" t="str">
        <x:v>広範型総合プレイヤー</x:v>
      </x:c>
      <x:c r="B16" s="70" t="str">
        <x:v>TI、Infineon、ST、onsemi、Renesas、ROHM、Silergy等。複数カテゴリを束ね、車載品質・評価環境・供給力で競争。</x:v>
      </x:c>
      <x:c r="D16" s="65" t="str">
        <x:v>GaNパワーIC / デバイス</x:v>
      </x:c>
      <x:c r="E16" s="67" t="n">
        <x:f>COUNTIF(US!P4:P200,"●")+COUNTIF(Europe!P4:P200,"●")+COUNTIF(Japan!P4:P200,"●")+COUNTIF(Asia!P4:P200,"●")</x:f>
        <x:v>14</x:v>
      </x:c>
      <x:c r="F16" s="67" t="n">
        <x:f>COUNTIF(US!P4:P200,"△")+COUNTIF(Europe!P4:P200,"△")+COUNTIF(Japan!P4:P200,"△")+COUNTIF(Asia!P4:P200,"△")</x:f>
        <x:v>15</x:v>
      </x:c>
    </x:row>
    <x:row r="17" ht="50" customHeight="1">
      <x:c r="A17" s="70" t="str">
        <x:v>高集積電源IC専業</x:v>
      </x:c>
      <x:c r="B17" s="70" t="str">
        <x:v>MPS、Richtek、JoulWatt、Southchip等。高周波、小型、DrMOS/Charge Pump/PMIC統合でBOM削減を訴求。</x:v>
      </x:c>
      <x:c r="D17" s="65" t="str">
        <x:v>パワーディスクリート / モジュール</x:v>
      </x:c>
      <x:c r="E17" s="67" t="n">
        <x:f>COUNTIF(US!Q4:Q200,"●")+COUNTIF(Europe!Q4:Q200,"●")+COUNTIF(Japan!Q4:Q200,"●")+COUNTIF(Asia!Q4:Q200,"●")</x:f>
        <x:v>32</x:v>
      </x:c>
      <x:c r="F17" s="67" t="n">
        <x:f>COUNTIF(US!Q4:Q200,"△")+COUNTIF(Europe!Q4:Q200,"△")+COUNTIF(Japan!Q4:Q200,"△")+COUNTIF(Asia!Q4:Q200,"△")</x:f>
        <x:v>9</x:v>
      </x:c>
    </x:row>
    <x:row r="18" ht="50" customHeight="1">
      <x:c r="A18" s="70" t="str">
        <x:v>AC-DC特化</x:v>
      </x:c>
      <x:c r="B18" s="70" t="str">
        <x:v>Power Integrations、Leadtrend、Pulsiv、Eggtronic、Winsemi等。PFC、フライバック、GaN統合、待機電力が主要軸。</x:v>
      </x:c>
    </x:row>
    <x:row r="19" ht="50" customHeight="1">
      <x:c r="A19" s="70" t="str">
        <x:v>GaN特化</x:v>
      </x:c>
      <x:c r="B19" s="70" t="str">
        <x:v>Navitas、EPC、CGD、Innoscience、Wise Integration等。デバイス単体か、駆動・保護・制御統合かで戦略が分かれる。</x:v>
      </x:c>
    </x:row>
    <x:row r="20" ht="50" customHeight="1">
      <x:c r="A20" s="70" t="str">
        <x:v>車載スマートスイッチ／照明</x:v>
      </x:c>
      <x:c r="B20" s="70" t="str">
        <x:v>Infineon、ST、NXP、Nexperia、Melexis、Elmos、Allegro等。診断、保護、機能安全、EMCが参入障壁。</x:v>
      </x:c>
    </x:row>
  </x:sheetData>
  <x:mergeCells>
    <x:mergeCell ref="A1:N1"/>
    <x:mergeCell ref="A2:N2"/>
  </x:mergeCells>
  <x:pageMargins left="0.7" right="0.7" top="0.75" bottom="0.75" header="0.3" footer="0.3"/>
  <x:drawing xmlns:r="http://schemas.openxmlformats.org/officeDocument/2006/relationships" r:id="Rf1bfa14bcea24ff8"/>
</x:worksheet>
</file>

<file path=xl/worksheets/sheet2.xml><?xml version="1.0" encoding="utf-8"?>
<x:worksheet xmlns:x="http://schemas.openxmlformats.org/spreadsheetml/2006/main">
  <x:sheetFormatPr defaultRowHeight="15"/>
  <x:cols>
    <x:col min="1" max="1" width="8" hidden="0" customWidth="1"/>
    <x:col min="2" max="2" width="12" hidden="0" customWidth="1"/>
    <x:col min="3" max="3" width="27" hidden="0" customWidth="1"/>
    <x:col min="4" max="4" width="25" hidden="0" customWidth="1"/>
    <x:col min="5" max="5" width="31" hidden="0" customWidth="1"/>
    <x:col min="6" max="6" width="31" hidden="0" customWidth="1"/>
    <x:col min="7" max="7" width="24"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8" hidden="0" customWidth="1"/>
    <x:col min="20" max="20" width="38" hidden="0" customWidth="1"/>
    <x:col min="21" max="21" width="34" hidden="0" customWidth="1"/>
    <x:col min="22" max="22" width="12" hidden="0" customWidth="1"/>
  </x:cols>
  <x:sheetData>
    <x:row r="1" ht="28" customHeight="1">
      <x:c r="A1" s="5" t="str">
        <x:v>米国：アナログ／パワー半導体企業一覧</x:v>
      </x:c>
      <x:c r="B1" s="5"/>
      <x:c r="C1" s="5"/>
      <x:c r="D1" s="5"/>
      <x:c r="E1" s="5"/>
      <x:c r="F1" s="5"/>
      <x:c r="G1" s="5"/>
      <x:c r="H1" s="5"/>
      <x:c r="I1" s="5"/>
      <x:c r="J1" s="5"/>
      <x:c r="K1" s="5"/>
      <x:c r="L1" s="5"/>
      <x:c r="M1" s="5"/>
      <x:c r="N1" s="5"/>
      <x:c r="O1" s="5"/>
      <x:c r="P1" s="5"/>
      <x:c r="Q1" s="5"/>
      <x:c r="R1" s="5"/>
      <x:c r="S1" s="5"/>
      <x:c r="T1" s="5"/>
      <x:c r="U1" s="5"/>
      <x:c r="V1" s="5"/>
    </x:row>
    <x:row r="2" ht="26" customHeight="1">
      <x:c r="A2" s="12" t="str">
        <x:v>凡例：●＝主要かつ明確な製品群、△＝限定的・統合品・特定用途中心、—＝公開カタログ上で明確な製品群を確認できず</x:v>
      </x:c>
      <x:c r="B2" s="12"/>
      <x:c r="C2" s="12"/>
      <x:c r="D2" s="12"/>
      <x:c r="E2" s="12"/>
      <x:c r="F2" s="12"/>
      <x:c r="G2" s="12"/>
      <x:c r="H2" s="12"/>
      <x:c r="I2" s="12"/>
      <x:c r="J2" s="12"/>
      <x:c r="K2" s="12"/>
      <x:c r="L2" s="12"/>
      <x:c r="M2" s="12"/>
      <x:c r="N2" s="12"/>
      <x:c r="O2" s="12"/>
      <x:c r="P2" s="12"/>
      <x:c r="Q2" s="12"/>
      <x:c r="R2" s="12"/>
      <x:c r="S2" s="12"/>
      <x:c r="T2" s="12"/>
      <x:c r="U2" s="12"/>
      <x:c r="V2" s="12"/>
    </x:row>
    <x:row r="3" ht="42" customHeight="1">
      <x:c r="A3" s="20" t="str">
        <x:v>地域</x:v>
      </x:c>
      <x:c r="B3" s="20" t="str">
        <x:v>国・地域</x:v>
      </x:c>
      <x:c r="C3" s="20" t="str">
        <x:v>企業名</x:v>
      </x:c>
      <x:c r="D3" s="20" t="str">
        <x:v>親会社・ブランド状況</x:v>
      </x:c>
      <x:c r="E3" s="20" t="str">
        <x:v>カンパニーURL</x:v>
      </x:c>
      <x:c r="F3" s="20" t="str">
        <x:v>公式製品URL</x:v>
      </x:c>
      <x:c r="G3" s="20" t="str">
        <x:v>企業タイプ</x:v>
      </x:c>
      <x:c r="H3" s="20" t="str">
        <x:v>車載対応</x:v>
      </x:c>
      <x:c r="I3" s="20" t="str">
        <x:v>DC-DC / PMIC</x:v>
      </x:c>
      <x:c r="J3" s="20" t="str">
        <x:v>LDO</x:v>
      </x:c>
      <x:c r="K3" s="20" t="str">
        <x:v>LEDドライバー</x:v>
      </x:c>
      <x:c r="L3" s="20" t="str">
        <x:v>AC-DC</x:v>
      </x:c>
      <x:c r="M3" s="20" t="str">
        <x:v>ゲートドライバー</x:v>
      </x:c>
      <x:c r="N3" s="20" t="str">
        <x:v>ロードスイッチ / eFuse</x:v>
      </x:c>
      <x:c r="O3" s="20" t="str">
        <x:v>アイデアルダイオード / ORing</x:v>
      </x:c>
      <x:c r="P3" s="20" t="str">
        <x:v>GaNパワーIC / デバイス</x:v>
      </x:c>
      <x:c r="Q3" s="20" t="str">
        <x:v>パワーディスクリート / モジュール</x:v>
      </x:c>
      <x:c r="R3" s="20" t="str">
        <x:v>製品群幅スコア</x:v>
      </x:c>
      <x:c r="S3" s="20" t="str">
        <x:v>主な製品群概要</x:v>
      </x:c>
      <x:c r="T3" s="20" t="str">
        <x:v>市場での位置づけ</x:v>
      </x:c>
      <x:c r="U3" s="20" t="str">
        <x:v>確認ソースURL</x:v>
      </x:c>
      <x:c r="V3" s="20" t="str">
        <x:v>確認日</x:v>
      </x:c>
    </x:row>
    <x:row r="4" ht="58" customHeight="1">
      <x:c r="A4" s="32" t="str">
        <x:v>米国</x:v>
      </x:c>
      <x:c r="B4" s="32" t="str">
        <x:v>米国</x:v>
      </x:c>
      <x:c r="C4" s="32" t="str">
        <x:v>Texas Instruments</x:v>
      </x:c>
      <x:c r="D4" s="32" t="str">
        <x:v>独立企業</x:v>
      </x:c>
      <x:c r="E4" s="32" t="str">
        <x:v>https://www.ti.com/</x:v>
      </x:c>
      <x:c r="F4" s="32" t="str">
        <x:v>https://www.ti.com/power-management/overview.html</x:v>
      </x:c>
      <x:c r="G4" s="32" t="str">
        <x:v>総合アナログ／電源IC大手</x:v>
      </x:c>
      <x:c r="H4" s="40" t="str">
        <x:v>●</x:v>
      </x:c>
      <x:c r="I4" s="40" t="str">
        <x:v>●</x:v>
      </x:c>
      <x:c r="J4" s="40" t="str">
        <x:v>●</x:v>
      </x:c>
      <x:c r="K4" s="40" t="str">
        <x:v>●</x:v>
      </x:c>
      <x:c r="L4" s="40" t="str">
        <x:v>●</x:v>
      </x:c>
      <x:c r="M4" s="40" t="str">
        <x:v>●</x:v>
      </x:c>
      <x:c r="N4" s="40" t="str">
        <x:v>●</x:v>
      </x:c>
      <x:c r="O4" s="40" t="str">
        <x:v>●</x:v>
      </x:c>
      <x:c r="P4" s="40" t="str">
        <x:v>●</x:v>
      </x:c>
      <x:c r="Q4" s="40" t="str">
        <x:v>△</x:v>
      </x:c>
      <x:c r="R4" s="42" t="n">
        <x:f>COUNTIF(I4:Q4,"●")+0.5*COUNTIF(I4:Q4,"△")</x:f>
        <x:v>8.5</x:v>
      </x:c>
      <x:c r="S4" s="32" t="str">
        <x:v>Buck/Boost、PMIC、LDO、車載・照明LED、PFC/フライバック等AC-DC、Si/SiC/GaNゲートドライバー、eFuse、ロードスイッチ、理想ダイオード。</x:v>
      </x:c>
      <x:c r="T4" s="32" t="str">
        <x:v>製品幅、評価環境、アプリケーション支援が最大級。汎用品から車載高信頼まで、ほぼ全電源カテゴリで直接競合。</x:v>
      </x:c>
      <x:c r="U4" s="32" t="str">
        <x:v>https://www.ti.com/power-management/overview.html</x:v>
      </x:c>
      <x:c r="V4" s="40" t="str">
        <x:v>2026-07-16</x:v>
      </x:c>
    </x:row>
    <x:row r="5" ht="58" customHeight="1">
      <x:c r="A5" s="32" t="str">
        <x:v>米国</x:v>
      </x:c>
      <x:c r="B5" s="32" t="str">
        <x:v>米国</x:v>
      </x:c>
      <x:c r="C5" s="32" t="str">
        <x:v>Analog Devices</x:v>
      </x:c>
      <x:c r="D5" s="32" t="str">
        <x:v>Maxim Integrated／Linear Technologyを統合</x:v>
      </x:c>
      <x:c r="E5" s="32" t="str">
        <x:v>https://www.analog.com/</x:v>
      </x:c>
      <x:c r="F5" s="32" t="str">
        <x:v>https://www.analog.com/en/product-category/power-management.html</x:v>
      </x:c>
      <x:c r="G5" s="32" t="str">
        <x:v>高性能アナログ／電源IC大手</x:v>
      </x:c>
      <x:c r="H5" s="40" t="str">
        <x:v>●</x:v>
      </x:c>
      <x:c r="I5" s="40" t="str">
        <x:v>●</x:v>
      </x:c>
      <x:c r="J5" s="40" t="str">
        <x:v>●</x:v>
      </x:c>
      <x:c r="K5" s="40" t="str">
        <x:v>●</x:v>
      </x:c>
      <x:c r="L5" s="40" t="str">
        <x:v>△</x:v>
      </x:c>
      <x:c r="M5" s="40" t="str">
        <x:v>●</x:v>
      </x:c>
      <x:c r="N5" s="40" t="str">
        <x:v>△</x:v>
      </x:c>
      <x:c r="O5" s="40" t="str">
        <x:v>●</x:v>
      </x:c>
      <x:c r="P5" s="40" t="str">
        <x:v>△</x:v>
      </x:c>
      <x:c r="Q5" s="40" t="str">
        <x:v>△</x:v>
      </x:c>
      <x:c r="R5" s="42" t="n">
        <x:f>COUNTIF(I5:Q5,"●")+0.5*COUNTIF(I5:Q5,"△")</x:f>
        <x:v>7</x:v>
      </x:c>
      <x:c r="S5" s="32" t="str">
        <x:v>高性能DC-DC、低ノイズLDO、LEDドライバー、ホットスワップ、サージストッパ、理想ダイオード、絶縁ゲートドライバー、μModule。</x:v>
      </x:c>
      <x:c r="T5" s="32" t="str">
        <x:v>高精度・低ノイズ・高電圧・高信頼を重視。通信、産業、車載、計測の高付加価値電源で強い。</x:v>
      </x:c>
      <x:c r="U5" s="32" t="str">
        <x:v>https://www.analog.com/en/product-category/power-management.html</x:v>
      </x:c>
      <x:c r="V5" s="40" t="str">
        <x:v>2026-07-16</x:v>
      </x:c>
    </x:row>
    <x:row r="6" ht="58" customHeight="1">
      <x:c r="A6" s="32" t="str">
        <x:v>米国</x:v>
      </x:c>
      <x:c r="B6" s="32" t="str">
        <x:v>米国</x:v>
      </x:c>
      <x:c r="C6" s="32" t="str">
        <x:v>onsemi</x:v>
      </x:c>
      <x:c r="D6" s="32" t="str">
        <x:v>独立企業</x:v>
      </x:c>
      <x:c r="E6" s="32" t="str">
        <x:v>https://www.onsemi.com/</x:v>
      </x:c>
      <x:c r="F6" s="32" t="str">
        <x:v>https://www.onsemi.com/products/power-management</x:v>
      </x:c>
      <x:c r="G6" s="32" t="str">
        <x:v>総合パワー半導体／アナログ</x:v>
      </x:c>
      <x:c r="H6" s="40" t="str">
        <x:v>●</x:v>
      </x:c>
      <x:c r="I6" s="40" t="str">
        <x:v>●</x:v>
      </x:c>
      <x:c r="J6" s="40" t="str">
        <x:v>●</x:v>
      </x:c>
      <x:c r="K6" s="40" t="str">
        <x:v>●</x:v>
      </x:c>
      <x:c r="L6" s="40" t="str">
        <x:v>●</x:v>
      </x:c>
      <x:c r="M6" s="40" t="str">
        <x:v>●</x:v>
      </x:c>
      <x:c r="N6" s="40" t="str">
        <x:v>●</x:v>
      </x:c>
      <x:c r="O6" s="40" t="str">
        <x:v>●</x:v>
      </x:c>
      <x:c r="P6" s="40" t="str">
        <x:v>△</x:v>
      </x:c>
      <x:c r="Q6" s="40" t="str">
        <x:v>●</x:v>
      </x:c>
      <x:c r="R6" s="42" t="n">
        <x:f>COUNTIF(I6:Q6,"●")+0.5*COUNTIF(I6:Q6,"△")</x:f>
        <x:v>8.5</x:v>
      </x:c>
      <x:c r="S6" s="32" t="str">
        <x:v>AC-DC、DC-DC、LEDドライバー、LDO、ゲートドライバー、保護スイッチ、理想ダイオード、SiC、MOSFET、IGBT、パワーモジュール。</x:v>
      </x:c>
      <x:c r="T6" s="32" t="str">
        <x:v>車載・産業パワーに強く、制御ICからSiC/MOSFETまで一体提案。EV、ADAS、照明、電源変換で競争力が高い。</x:v>
      </x:c>
      <x:c r="U6" s="32" t="str">
        <x:v>https://www.onsemi.com/products/power-management</x:v>
      </x:c>
      <x:c r="V6" s="40" t="str">
        <x:v>2026-07-16</x:v>
      </x:c>
    </x:row>
    <x:row r="7" ht="58" customHeight="1">
      <x:c r="A7" s="32" t="str">
        <x:v>米国</x:v>
      </x:c>
      <x:c r="B7" s="32" t="str">
        <x:v>米国</x:v>
      </x:c>
      <x:c r="C7" s="32" t="str">
        <x:v>Microchip Technology</x:v>
      </x:c>
      <x:c r="D7" s="32" t="str">
        <x:v>Microsemiを統合</x:v>
      </x:c>
      <x:c r="E7" s="32" t="str">
        <x:v>https://www.microchip.com/</x:v>
      </x:c>
      <x:c r="F7" s="32" t="str">
        <x:v>https://www.microchip.com/en-us/products/power-management</x:v>
      </x:c>
      <x:c r="G7" s="32" t="str">
        <x:v>MCU＋アナログ／電源</x:v>
      </x:c>
      <x:c r="H7" s="40" t="str">
        <x:v>●</x:v>
      </x:c>
      <x:c r="I7" s="40" t="str">
        <x:v>●</x:v>
      </x:c>
      <x:c r="J7" s="40" t="str">
        <x:v>●</x:v>
      </x:c>
      <x:c r="K7" s="40" t="str">
        <x:v>●</x:v>
      </x:c>
      <x:c r="L7" s="40" t="str">
        <x:v>△</x:v>
      </x:c>
      <x:c r="M7" s="40" t="str">
        <x:v>●</x:v>
      </x:c>
      <x:c r="N7" s="40" t="str">
        <x:v>●</x:v>
      </x:c>
      <x:c r="O7" s="40" t="str">
        <x:v>△</x:v>
      </x:c>
      <x:c r="P7" s="40" t="str">
        <x:v>—</x:v>
      </x:c>
      <x:c r="Q7" s="40" t="str">
        <x:v>△</x:v>
      </x:c>
      <x:c r="R7" s="42" t="n">
        <x:f>COUNTIF(I7:Q7,"●")+0.5*COUNTIF(I7:Q7,"△")</x:f>
        <x:v>6.5</x:v>
      </x:c>
      <x:c r="S7" s="32" t="str">
        <x:v>スイッチングレギュレーター、LDO、LEDドライバー、MOSFET/IGBT/SiCゲートドライバー、ロードスイッチ、PoE、デジタル電源。</x:v>
      </x:c>
      <x:c r="T7" s="32" t="str">
        <x:v>MCU、デジタル制御、航空宇宙・防衛、産業、車載とのクロスセルが強み。長期供給を訴求。</x:v>
      </x:c>
      <x:c r="U7" s="32" t="str">
        <x:v>https://www.microchip.com/en-us/products/power-management</x:v>
      </x:c>
      <x:c r="V7" s="40" t="str">
        <x:v>2026-07-16</x:v>
      </x:c>
    </x:row>
    <x:row r="8" ht="58" customHeight="1">
      <x:c r="A8" s="32" t="str">
        <x:v>米国</x:v>
      </x:c>
      <x:c r="B8" s="32" t="str">
        <x:v>米国</x:v>
      </x:c>
      <x:c r="C8" s="32" t="str">
        <x:v>Monolithic Power Systems (MPS)</x:v>
      </x:c>
      <x:c r="D8" s="32" t="str">
        <x:v>独立企業</x:v>
      </x:c>
      <x:c r="E8" s="32" t="str">
        <x:v>https://www.monolithicpower.com/</x:v>
      </x:c>
      <x:c r="F8" s="32" t="str">
        <x:v>https://www.monolithicpower.com/en/products.html</x:v>
      </x:c>
      <x:c r="G8" s="32" t="str">
        <x:v>高集積電源IC専業</x:v>
      </x:c>
      <x:c r="H8" s="40" t="str">
        <x:v>●</x:v>
      </x:c>
      <x:c r="I8" s="40" t="str">
        <x:v>●</x:v>
      </x:c>
      <x:c r="J8" s="40" t="str">
        <x:v>●</x:v>
      </x:c>
      <x:c r="K8" s="40" t="str">
        <x:v>●</x:v>
      </x:c>
      <x:c r="L8" s="40" t="str">
        <x:v>△</x:v>
      </x:c>
      <x:c r="M8" s="40" t="str">
        <x:v>●</x:v>
      </x:c>
      <x:c r="N8" s="40" t="str">
        <x:v>●</x:v>
      </x:c>
      <x:c r="O8" s="40" t="str">
        <x:v>△</x:v>
      </x:c>
      <x:c r="P8" s="40" t="str">
        <x:v>△</x:v>
      </x:c>
      <x:c r="Q8" s="40" t="str">
        <x:v>●</x:v>
      </x:c>
      <x:c r="R8" s="42" t="n">
        <x:f>COUNTIF(I8:Q8,"●")+0.5*COUNTIF(I8:Q8,"△")</x:f>
        <x:v>7.5</x:v>
      </x:c>
      <x:c r="S8" s="32" t="str">
        <x:v>高集積Buck/Boost、PMIC、LDO、LED、モータードライバー、デジタル電源、ゲートドライバー、eFuse、パワーモジュール。</x:v>
      </x:c>
      <x:c r="T8" s="32" t="str">
        <x:v>高周波・小型・高集積を武器に、コンピューティング、データセンター、車載、産業で急成長する直接競合。</x:v>
      </x:c>
      <x:c r="U8" s="32" t="str">
        <x:v>https://www.monolithicpower.com/en/products.html</x:v>
      </x:c>
      <x:c r="V8" s="40" t="str">
        <x:v>2026-07-16</x:v>
      </x:c>
    </x:row>
    <x:row r="9" ht="58" customHeight="1">
      <x:c r="A9" s="32" t="str">
        <x:v>米国</x:v>
      </x:c>
      <x:c r="B9" s="32" t="str">
        <x:v>米国</x:v>
      </x:c>
      <x:c r="C9" s="32" t="str">
        <x:v>Power Integrations</x:v>
      </x:c>
      <x:c r="D9" s="32" t="str">
        <x:v>SCALEゲートドライバー事業を保有</x:v>
      </x:c>
      <x:c r="E9" s="32" t="str">
        <x:v>https://www.power.com/</x:v>
      </x:c>
      <x:c r="F9" s="32" t="str">
        <x:v>https://www.power.com/products</x:v>
      </x:c>
      <x:c r="G9" s="32" t="str">
        <x:v>高電圧AC-DC／ゲートドライバー専業</x:v>
      </x:c>
      <x:c r="H9" s="40" t="str">
        <x:v>△</x:v>
      </x:c>
      <x:c r="I9" s="40" t="str">
        <x:v>—</x:v>
      </x:c>
      <x:c r="J9" s="40" t="str">
        <x:v>—</x:v>
      </x:c>
      <x:c r="K9" s="40" t="str">
        <x:v>●</x:v>
      </x:c>
      <x:c r="L9" s="40" t="str">
        <x:v>●</x:v>
      </x:c>
      <x:c r="M9" s="40" t="str">
        <x:v>●</x:v>
      </x:c>
      <x:c r="N9" s="40" t="str">
        <x:v>—</x:v>
      </x:c>
      <x:c r="O9" s="40" t="str">
        <x:v>—</x:v>
      </x:c>
      <x:c r="P9" s="40" t="str">
        <x:v>●</x:v>
      </x:c>
      <x:c r="Q9" s="40" t="str">
        <x:v>△</x:v>
      </x:c>
      <x:c r="R9" s="42" t="n">
        <x:f>COUNTIF(I9:Q9,"●")+0.5*COUNTIF(I9:Q9,"△")</x:f>
        <x:v>4.5</x:v>
      </x:c>
      <x:c r="S9" s="32" t="str">
        <x:v>オフラインAC-DCスイッチャIC、PFC、LED電源、InnoSwitch、PowiGaN内蔵IC、高電圧IGBT/SiCゲートドライバー。</x:v>
      </x:c>
      <x:c r="T9" s="32" t="str">
        <x:v>外付け部品削減と高耐圧スイッチ統合に強い。家電、アダプター、産業電源、再エネ向けで専門性が高い。</x:v>
      </x:c>
      <x:c r="U9" s="32" t="str">
        <x:v>https://www.power.com/products</x:v>
      </x:c>
      <x:c r="V9" s="40" t="str">
        <x:v>2026-07-16</x:v>
      </x:c>
    </x:row>
    <x:row r="10" ht="58" customHeight="1">
      <x:c r="A10" s="32" t="str">
        <x:v>米国</x:v>
      </x:c>
      <x:c r="B10" s="32" t="str">
        <x:v>米国</x:v>
      </x:c>
      <x:c r="C10" s="32" t="str">
        <x:v>Diodes Incorporated</x:v>
      </x:c>
      <x:c r="D10" s="32" t="str">
        <x:v>BCD Semiconductor等を統合</x:v>
      </x:c>
      <x:c r="E10" s="32" t="str">
        <x:v>https://www.diodes.com/</x:v>
      </x:c>
      <x:c r="F10" s="32" t="str">
        <x:v>https://www.diodes.com/products/power-management/</x:v>
      </x:c>
      <x:c r="G10" s="32" t="str">
        <x:v>広範なアナログ／ディスクリート</x:v>
      </x:c>
      <x:c r="H10" s="40" t="str">
        <x:v>●</x:v>
      </x:c>
      <x:c r="I10" s="40" t="str">
        <x:v>●</x:v>
      </x:c>
      <x:c r="J10" s="40" t="str">
        <x:v>●</x:v>
      </x:c>
      <x:c r="K10" s="40" t="str">
        <x:v>●</x:v>
      </x:c>
      <x:c r="L10" s="40" t="str">
        <x:v>●</x:v>
      </x:c>
      <x:c r="M10" s="40" t="str">
        <x:v>●</x:v>
      </x:c>
      <x:c r="N10" s="40" t="str">
        <x:v>●</x:v>
      </x:c>
      <x:c r="O10" s="40" t="str">
        <x:v>●</x:v>
      </x:c>
      <x:c r="P10" s="40" t="str">
        <x:v>—</x:v>
      </x:c>
      <x:c r="Q10" s="40" t="str">
        <x:v>●</x:v>
      </x:c>
      <x:c r="R10" s="42" t="n">
        <x:f>COUNTIF(I10:Q10,"●")+0.5*COUNTIF(I10:Q10,"△")</x:f>
        <x:v>8</x:v>
      </x:c>
      <x:c r="S10" s="32" t="str">
        <x:v>DC-DC、LDO、AC-DC、LED、ゲートドライバー、ロードスイッチ、eFuse、理想ダイオード、整流器、MOSFET。</x:v>
      </x:c>
      <x:c r="T10" s="32" t="str">
        <x:v>コスト競争力と幅広い標準品が強み。民生・産業・車載のセカンドソース候補として重要。</x:v>
      </x:c>
      <x:c r="U10" s="32" t="str">
        <x:v>https://www.diodes.com/products/power-management/</x:v>
      </x:c>
      <x:c r="V10" s="40" t="str">
        <x:v>2026-07-16</x:v>
      </x:c>
    </x:row>
    <x:row r="11" ht="58" customHeight="1">
      <x:c r="A11" s="32" t="str">
        <x:v>米国</x:v>
      </x:c>
      <x:c r="B11" s="32" t="str">
        <x:v>米国</x:v>
      </x:c>
      <x:c r="C11" s="32" t="str">
        <x:v>Alpha &amp; Omega Semiconductor (AOS)</x:v>
      </x:c>
      <x:c r="D11" s="32" t="str">
        <x:v>独立企業</x:v>
      </x:c>
      <x:c r="E11" s="32" t="str">
        <x:v>https://www.aosmd.com/</x:v>
      </x:c>
      <x:c r="F11" s="32" t="str">
        <x:v>https://www.aosmd.com/products/power-ics</x:v>
      </x:c>
      <x:c r="G11" s="32" t="str">
        <x:v>パワーディスクリート＋電源IC</x:v>
      </x:c>
      <x:c r="H11" s="40" t="str">
        <x:v>△</x:v>
      </x:c>
      <x:c r="I11" s="40" t="str">
        <x:v>●</x:v>
      </x:c>
      <x:c r="J11" s="40" t="str">
        <x:v>△</x:v>
      </x:c>
      <x:c r="K11" s="40" t="str">
        <x:v>—</x:v>
      </x:c>
      <x:c r="L11" s="40" t="str">
        <x:v>—</x:v>
      </x:c>
      <x:c r="M11" s="40" t="str">
        <x:v>△</x:v>
      </x:c>
      <x:c r="N11" s="40" t="str">
        <x:v>●</x:v>
      </x:c>
      <x:c r="O11" s="40" t="str">
        <x:v>—</x:v>
      </x:c>
      <x:c r="P11" s="40" t="str">
        <x:v>—</x:v>
      </x:c>
      <x:c r="Q11" s="40" t="str">
        <x:v>●</x:v>
      </x:c>
      <x:c r="R11" s="42" t="n">
        <x:f>COUNTIF(I11:Q11,"●")+0.5*COUNTIF(I11:Q11,"△")</x:f>
        <x:v>4</x:v>
      </x:c>
      <x:c r="S11" s="32" t="str">
        <x:v>MOSFET、IGBT、パワーIC、Buckコンバーター、DrMOS、eFuse、ロードスイッチ、バッテリー保護。</x:v>
      </x:c>
      <x:c r="T11" s="32" t="str">
        <x:v>MOSFETとマルチチップ／パワーステージ統合に強く、PC、サーバー、家電、バッテリー機器で競合。</x:v>
      </x:c>
      <x:c r="U11" s="32" t="str">
        <x:v>https://www.aosmd.com/products/power-ics</x:v>
      </x:c>
      <x:c r="V11" s="40" t="str">
        <x:v>2026-07-16</x:v>
      </x:c>
    </x:row>
    <x:row r="12" ht="58" customHeight="1">
      <x:c r="A12" s="32" t="str">
        <x:v>米国</x:v>
      </x:c>
      <x:c r="B12" s="32" t="str">
        <x:v>米国</x:v>
      </x:c>
      <x:c r="C12" s="32" t="str">
        <x:v>Allegro MicroSystems</x:v>
      </x:c>
      <x:c r="D12" s="32" t="str">
        <x:v>独立企業</x:v>
      </x:c>
      <x:c r="E12" s="32" t="str">
        <x:v>https://www.allegromicro.com/</x:v>
      </x:c>
      <x:c r="F12" s="32" t="str">
        <x:v>https://www.allegromicro.com/en/products/power</x:v>
      </x:c>
      <x:c r="G12" s="32" t="str">
        <x:v>車載・産業ドライバー／センサー</x:v>
      </x:c>
      <x:c r="H12" s="40" t="str">
        <x:v>●</x:v>
      </x:c>
      <x:c r="I12" s="40" t="str">
        <x:v>△</x:v>
      </x:c>
      <x:c r="J12" s="40" t="str">
        <x:v>△</x:v>
      </x:c>
      <x:c r="K12" s="40" t="str">
        <x:v>●</x:v>
      </x:c>
      <x:c r="L12" s="40" t="str">
        <x:v>—</x:v>
      </x:c>
      <x:c r="M12" s="40" t="str">
        <x:v>●</x:v>
      </x:c>
      <x:c r="N12" s="40" t="str">
        <x:v>●</x:v>
      </x:c>
      <x:c r="O12" s="40" t="str">
        <x:v>—</x:v>
      </x:c>
      <x:c r="P12" s="40" t="str">
        <x:v>—</x:v>
      </x:c>
      <x:c r="Q12" s="40" t="str">
        <x:v>△</x:v>
      </x:c>
      <x:c r="R12" s="42" t="n">
        <x:f>COUNTIF(I12:Q12,"●")+0.5*COUNTIF(I12:Q12,"△")</x:f>
        <x:v>4.5</x:v>
      </x:c>
      <x:c r="S12" s="32" t="str">
        <x:v>車載LEDドライバー、モータードライバー、ゲートドライバー、レギュレーター、電流センサー、保護機能付きパワーIC。</x:v>
      </x:c>
      <x:c r="T12" s="32" t="str">
        <x:v>磁気センサーとパワードライバーの組合せが強み。車載照明、モーター、48V系で存在感。</x:v>
      </x:c>
      <x:c r="U12" s="32" t="str">
        <x:v>https://www.allegromicro.com/en/products/power</x:v>
      </x:c>
      <x:c r="V12" s="40" t="str">
        <x:v>2026-07-16</x:v>
      </x:c>
    </x:row>
    <x:row r="13" ht="58" customHeight="1">
      <x:c r="A13" s="32" t="str">
        <x:v>米国</x:v>
      </x:c>
      <x:c r="B13" s="32" t="str">
        <x:v>米国</x:v>
      </x:c>
      <x:c r="C13" s="32" t="str">
        <x:v>Semtech</x:v>
      </x:c>
      <x:c r="D13" s="32" t="str">
        <x:v>独立企業</x:v>
      </x:c>
      <x:c r="E13" s="32" t="str">
        <x:v>https://www.semtech.com/</x:v>
      </x:c>
      <x:c r="F13" s="32" t="str">
        <x:v>https://www.semtech.com/products/power-management</x:v>
      </x:c>
      <x:c r="G13" s="32" t="str">
        <x:v>アナログ／電源・通信IC</x:v>
      </x:c>
      <x:c r="H13" s="40" t="str">
        <x:v>△</x:v>
      </x:c>
      <x:c r="I13" s="40" t="str">
        <x:v>●</x:v>
      </x:c>
      <x:c r="J13" s="40" t="str">
        <x:v>●</x:v>
      </x:c>
      <x:c r="K13" s="40" t="str">
        <x:v>●</x:v>
      </x:c>
      <x:c r="L13" s="40" t="str">
        <x:v>—</x:v>
      </x:c>
      <x:c r="M13" s="40" t="str">
        <x:v>—</x:v>
      </x:c>
      <x:c r="N13" s="40" t="str">
        <x:v>●</x:v>
      </x:c>
      <x:c r="O13" s="40" t="str">
        <x:v>—</x:v>
      </x:c>
      <x:c r="P13" s="40" t="str">
        <x:v>—</x:v>
      </x:c>
      <x:c r="Q13" s="40" t="str">
        <x:v>—</x:v>
      </x:c>
      <x:c r="R13" s="42" t="n">
        <x:f>COUNTIF(I13:Q13,"●")+0.5*COUNTIF(I13:Q13,"△")</x:f>
        <x:v>4</x:v>
      </x:c>
      <x:c r="S13" s="32" t="str">
        <x:v>DC-DC、LDO、LEDバックライト／照明、ロードスイッチ、PoE、保護IC、電源シーケンサー。</x:v>
      </x:c>
      <x:c r="T13" s="32" t="str">
        <x:v>通信・映像・IoTとの組合せが中心。広範型大手よりも特定アプリケーション向け電源に強い。</x:v>
      </x:c>
      <x:c r="U13" s="32" t="str">
        <x:v>https://www.semtech.com/products/power-management</x:v>
      </x:c>
      <x:c r="V13" s="40" t="str">
        <x:v>2026-07-16</x:v>
      </x:c>
    </x:row>
    <x:row r="14" ht="58" customHeight="1">
      <x:c r="A14" s="32" t="str">
        <x:v>米国</x:v>
      </x:c>
      <x:c r="B14" s="32" t="str">
        <x:v>米国</x:v>
      </x:c>
      <x:c r="C14" s="32" t="str">
        <x:v>Vishay Intertechnology</x:v>
      </x:c>
      <x:c r="D14" s="32" t="str">
        <x:v>独立企業</x:v>
      </x:c>
      <x:c r="E14" s="32" t="str">
        <x:v>https://www.vishay.com/</x:v>
      </x:c>
      <x:c r="F14" s="32" t="str">
        <x:v>https://www.vishay.com/en/ics/</x:v>
      </x:c>
      <x:c r="G14" s="32" t="str">
        <x:v>ディスクリート＋電源IC</x:v>
      </x:c>
      <x:c r="H14" s="40" t="str">
        <x:v>●</x:v>
      </x:c>
      <x:c r="I14" s="40" t="str">
        <x:v>△</x:v>
      </x:c>
      <x:c r="J14" s="40" t="str">
        <x:v>△</x:v>
      </x:c>
      <x:c r="K14" s="40" t="str">
        <x:v>△</x:v>
      </x:c>
      <x:c r="L14" s="40" t="str">
        <x:v>—</x:v>
      </x:c>
      <x:c r="M14" s="40" t="str">
        <x:v>△</x:v>
      </x:c>
      <x:c r="N14" s="40" t="str">
        <x:v>●</x:v>
      </x:c>
      <x:c r="O14" s="40" t="str">
        <x:v>△</x:v>
      </x:c>
      <x:c r="P14" s="40" t="str">
        <x:v>—</x:v>
      </x:c>
      <x:c r="Q14" s="40" t="str">
        <x:v>●</x:v>
      </x:c>
      <x:c r="R14" s="42" t="n">
        <x:f>COUNTIF(I14:Q14,"●")+0.5*COUNTIF(I14:Q14,"△")</x:f>
        <x:v>4.5</x:v>
      </x:c>
      <x:c r="S14" s="32" t="str">
        <x:v>MOSFET、ダイオード、整流器、ロードスイッチ、スマートロードスイッチ、ドライバー、電源制御IC、光半導体。</x:v>
      </x:c>
      <x:c r="T14" s="32" t="str">
        <x:v>受動部品とパワーディスクリートを一括提案可能。車載・産業の部品集約と供給基盤が強み。</x:v>
      </x:c>
      <x:c r="U14" s="32" t="str">
        <x:v>https://www.vishay.com/en/ics/</x:v>
      </x:c>
      <x:c r="V14" s="40" t="str">
        <x:v>2026-07-16</x:v>
      </x:c>
    </x:row>
    <x:row r="15" ht="58" customHeight="1">
      <x:c r="A15" s="32" t="str">
        <x:v>米国</x:v>
      </x:c>
      <x:c r="B15" s="32" t="str">
        <x:v>米国</x:v>
      </x:c>
      <x:c r="C15" s="32" t="str">
        <x:v>Littelfuse / IXYS Integrated Circuits</x:v>
      </x:c>
      <x:c r="D15" s="32" t="str">
        <x:v>IXYS、Clare等を統合</x:v>
      </x:c>
      <x:c r="E15" s="32" t="str">
        <x:v>https://www.littelfuse.com/</x:v>
      </x:c>
      <x:c r="F15" s="32" t="str">
        <x:v>https://www.littelfuse.com/products/integrated-circuits</x:v>
      </x:c>
      <x:c r="G15" s="32" t="str">
        <x:v>保護部品＋高電圧ドライバー</x:v>
      </x:c>
      <x:c r="H15" s="40" t="str">
        <x:v>△</x:v>
      </x:c>
      <x:c r="I15" s="40" t="str">
        <x:v>—</x:v>
      </x:c>
      <x:c r="J15" s="40" t="str">
        <x:v>—</x:v>
      </x:c>
      <x:c r="K15" s="40" t="str">
        <x:v>—</x:v>
      </x:c>
      <x:c r="L15" s="40" t="str">
        <x:v>△</x:v>
      </x:c>
      <x:c r="M15" s="40" t="str">
        <x:v>●</x:v>
      </x:c>
      <x:c r="N15" s="40" t="str">
        <x:v>△</x:v>
      </x:c>
      <x:c r="O15" s="40" t="str">
        <x:v>—</x:v>
      </x:c>
      <x:c r="P15" s="40" t="str">
        <x:v>—</x:v>
      </x:c>
      <x:c r="Q15" s="40" t="str">
        <x:v>●</x:v>
      </x:c>
      <x:c r="R15" s="42" t="n">
        <x:f>COUNTIF(I15:Q15,"●")+0.5*COUNTIF(I15:Q15,"△")</x:f>
        <x:v>3</x:v>
      </x:c>
      <x:c r="S15" s="32" t="str">
        <x:v>IGBT/MOSFET/SiCゲートドライバー、ソリッドステートリレー、サイリスタ、ダイオード、MOSFET、回路保護。</x:v>
      </x:c>
      <x:c r="T15" s="32" t="str">
        <x:v>高電圧・絶縁・保護の組合せが強い。産業、再エネ、医療、車載補機のニッチ市場で重要。</x:v>
      </x:c>
      <x:c r="U15" s="32" t="str">
        <x:v>https://www.littelfuse.com/products/integrated-circuits</x:v>
      </x:c>
      <x:c r="V15" s="40" t="str">
        <x:v>2026-07-16</x:v>
      </x:c>
    </x:row>
    <x:row r="16" ht="58" customHeight="1">
      <x:c r="A16" s="32" t="str">
        <x:v>米国</x:v>
      </x:c>
      <x:c r="B16" s="32" t="str">
        <x:v>米国</x:v>
      </x:c>
      <x:c r="C16" s="32" t="str">
        <x:v>Navitas Semiconductor</x:v>
      </x:c>
      <x:c r="D16" s="32" t="str">
        <x:v>GeneSiCを統合</x:v>
      </x:c>
      <x:c r="E16" s="32" t="str">
        <x:v>https://navitassemi.com/</x:v>
      </x:c>
      <x:c r="F16" s="32" t="str">
        <x:v>https://navitassemi.com/products/</x:v>
      </x:c>
      <x:c r="G16" s="32" t="str">
        <x:v>GaN／SiCパワー専業</x:v>
      </x:c>
      <x:c r="H16" s="40" t="str">
        <x:v>△</x:v>
      </x:c>
      <x:c r="I16" s="40" t="str">
        <x:v>△</x:v>
      </x:c>
      <x:c r="J16" s="40" t="str">
        <x:v>—</x:v>
      </x:c>
      <x:c r="K16" s="40" t="str">
        <x:v>—</x:v>
      </x:c>
      <x:c r="L16" s="40" t="str">
        <x:v>△</x:v>
      </x:c>
      <x:c r="M16" s="40" t="str">
        <x:v>●</x:v>
      </x:c>
      <x:c r="N16" s="40" t="str">
        <x:v>—</x:v>
      </x:c>
      <x:c r="O16" s="40" t="str">
        <x:v>—</x:v>
      </x:c>
      <x:c r="P16" s="40" t="str">
        <x:v>●</x:v>
      </x:c>
      <x:c r="Q16" s="40" t="str">
        <x:v>●</x:v>
      </x:c>
      <x:c r="R16" s="42" t="n">
        <x:f>COUNTIF(I16:Q16,"●")+0.5*COUNTIF(I16:Q16,"△")</x:f>
        <x:v>4</x:v>
      </x:c>
      <x:c r="S16" s="32" t="str">
        <x:v>GaNSafe/GaNFast統合パワーIC、GaNドライバー、SiC MOSFET/ダイオード、AC-DC急速充電向けソリューション。</x:v>
      </x:c>
      <x:c r="T16" s="32" t="str">
        <x:v>GaNに駆動・保護・制御を統合する戦略。急速充電、データセンター、太陽光、EVで成長を狙う。</x:v>
      </x:c>
      <x:c r="U16" s="32" t="str">
        <x:v>https://navitassemi.com/products/</x:v>
      </x:c>
      <x:c r="V16" s="40" t="str">
        <x:v>2026-07-16</x:v>
      </x:c>
    </x:row>
    <x:row r="17" ht="58" customHeight="1">
      <x:c r="A17" s="32" t="str">
        <x:v>米国</x:v>
      </x:c>
      <x:c r="B17" s="32" t="str">
        <x:v>米国</x:v>
      </x:c>
      <x:c r="C17" s="32" t="str">
        <x:v>Efficient Power Conversion (EPC)</x:v>
      </x:c>
      <x:c r="D17" s="32" t="str">
        <x:v>独立企業</x:v>
      </x:c>
      <x:c r="E17" s="32" t="str">
        <x:v>https://epc-co.com/epc</x:v>
      </x:c>
      <x:c r="F17" s="32" t="str">
        <x:v>https://epc-co.com/epc/products/gan-fets-and-ics</x:v>
      </x:c>
      <x:c r="G17" s="32" t="str">
        <x:v>低電圧eGaN専業</x:v>
      </x:c>
      <x:c r="H17" s="40" t="str">
        <x:v>△</x:v>
      </x:c>
      <x:c r="I17" s="40" t="str">
        <x:v>△</x:v>
      </x:c>
      <x:c r="J17" s="40" t="str">
        <x:v>—</x:v>
      </x:c>
      <x:c r="K17" s="40" t="str">
        <x:v>—</x:v>
      </x:c>
      <x:c r="L17" s="40" t="str">
        <x:v>—</x:v>
      </x:c>
      <x:c r="M17" s="40" t="str">
        <x:v>●</x:v>
      </x:c>
      <x:c r="N17" s="40" t="str">
        <x:v>—</x:v>
      </x:c>
      <x:c r="O17" s="40" t="str">
        <x:v>—</x:v>
      </x:c>
      <x:c r="P17" s="40" t="str">
        <x:v>●</x:v>
      </x:c>
      <x:c r="Q17" s="40" t="str">
        <x:v>●</x:v>
      </x:c>
      <x:c r="R17" s="42" t="n">
        <x:f>COUNTIF(I17:Q17,"●")+0.5*COUNTIF(I17:Q17,"△")</x:f>
        <x:v>3.5</x:v>
      </x:c>
      <x:c r="S17" s="32" t="str">
        <x:v>低耐圧～中耐圧eGaN FET、ハーフブリッジ／ドライバー統合IC、評価ボード、モータードライブ・LiDAR・DC-DC向け。</x:v>
      </x:c>
      <x:c r="T17" s="32" t="str">
        <x:v>高周波・低電荷のeGaNで先行。48V、LiDAR、ロボット、衛星、モーターの高密度化に強い。</x:v>
      </x:c>
      <x:c r="U17" s="32" t="str">
        <x:v>https://epc-co.com/epc/products/gan-fets-and-ics</x:v>
      </x:c>
      <x:c r="V17" s="40" t="str">
        <x:v>2026-07-16</x:v>
      </x:c>
    </x:row>
    <x:row r="18" ht="58" customHeight="1">
      <x:c r="A18" s="32" t="str">
        <x:v>米国</x:v>
      </x:c>
      <x:c r="B18" s="32" t="str">
        <x:v>米国</x:v>
      </x:c>
      <x:c r="C18" s="32" t="str">
        <x:v>Empower Semiconductor</x:v>
      </x:c>
      <x:c r="D18" s="32" t="str">
        <x:v>ADIによる買収発表済み（完了状況要確認）</x:v>
      </x:c>
      <x:c r="E18" s="32" t="str">
        <x:v>https://www.empowersemi.com/</x:v>
      </x:c>
      <x:c r="F18" s="32" t="str">
        <x:v>https://www.empowersemi.com/products</x:v>
      </x:c>
      <x:c r="G18" s="32" t="str">
        <x:v>超小型電源IC／IVR専業</x:v>
      </x:c>
      <x:c r="H18" s="40" t="str">
        <x:v>—</x:v>
      </x:c>
      <x:c r="I18" s="40" t="str">
        <x:v>●</x:v>
      </x:c>
      <x:c r="J18" s="40" t="str">
        <x:v>—</x:v>
      </x:c>
      <x:c r="K18" s="40" t="str">
        <x:v>—</x:v>
      </x:c>
      <x:c r="L18" s="40" t="str">
        <x:v>—</x:v>
      </x:c>
      <x:c r="M18" s="40" t="str">
        <x:v>—</x:v>
      </x:c>
      <x:c r="N18" s="40" t="str">
        <x:v>—</x:v>
      </x:c>
      <x:c r="O18" s="40" t="str">
        <x:v>—</x:v>
      </x:c>
      <x:c r="P18" s="40" t="str">
        <x:v>—</x:v>
      </x:c>
      <x:c r="Q18" s="40" t="str">
        <x:v>△</x:v>
      </x:c>
      <x:c r="R18" s="42" t="n">
        <x:f>COUNTIF(I18:Q18,"●")+0.5*COUNTIF(I18:Q18,"△")</x:f>
        <x:v>1.5</x:v>
      </x:c>
      <x:c r="S18" s="32" t="str">
        <x:v>Integrated Voltage Regulator、デジタル電源、シリコンキャパシターを用いた超小型・高速負荷応答電源。</x:v>
      </x:c>
      <x:c r="T18" s="32" t="str">
        <x:v>AI/HPC、通信、SoC近傍のPoint-of-Loadに特化。基板面積と過渡応答で差別化。</x:v>
      </x:c>
      <x:c r="U18" s="32" t="str">
        <x:v>https://www.empowersemi.com/products</x:v>
      </x:c>
      <x:c r="V18" s="40" t="str">
        <x:v>2026-07-16</x:v>
      </x:c>
    </x:row>
    <x:row r="19" ht="58" customHeight="1">
      <x:c r="A19" s="32" t="str">
        <x:v>米国</x:v>
      </x:c>
      <x:c r="B19" s="32" t="str">
        <x:v>米国</x:v>
      </x:c>
      <x:c r="C19" s="32" t="str">
        <x:v>Vicor</x:v>
      </x:c>
      <x:c r="D19" s="32" t="str">
        <x:v>独立企業</x:v>
      </x:c>
      <x:c r="E19" s="32" t="str">
        <x:v>https://www.vicorpower.com/</x:v>
      </x:c>
      <x:c r="F19" s="32" t="str">
        <x:v>https://www.vicorpower.com/products</x:v>
      </x:c>
      <x:c r="G19" s="32" t="str">
        <x:v>高密度電源モジュール専業</x:v>
      </x:c>
      <x:c r="H19" s="40" t="str">
        <x:v>△</x:v>
      </x:c>
      <x:c r="I19" s="40" t="str">
        <x:v>●</x:v>
      </x:c>
      <x:c r="J19" s="40" t="str">
        <x:v>—</x:v>
      </x:c>
      <x:c r="K19" s="40" t="str">
        <x:v>—</x:v>
      </x:c>
      <x:c r="L19" s="40" t="str">
        <x:v>—</x:v>
      </x:c>
      <x:c r="M19" s="40" t="str">
        <x:v>—</x:v>
      </x:c>
      <x:c r="N19" s="40" t="str">
        <x:v>—</x:v>
      </x:c>
      <x:c r="O19" s="40" t="str">
        <x:v>—</x:v>
      </x:c>
      <x:c r="P19" s="40" t="str">
        <x:v>—</x:v>
      </x:c>
      <x:c r="Q19" s="40" t="str">
        <x:v>●</x:v>
      </x:c>
      <x:c r="R19" s="42" t="n">
        <x:f>COUNTIF(I19:Q19,"●")+0.5*COUNTIF(I19:Q19,"△")</x:f>
        <x:v>2</x:v>
      </x:c>
      <x:c r="S19" s="32" t="str">
        <x:v>高密度DC-DCモジュール、バスコンバーター、PRM/VTM、AC-DCフロントエンド、48V電源デリバリー。</x:v>
      </x:c>
      <x:c r="T19" s="32" t="str">
        <x:v>独自パッケージと電力密度でAI/HPC、航空宇宙、防衛、車載48Vに強い。ICよりモジュール競争軸。</x:v>
      </x:c>
      <x:c r="U19" s="32" t="str">
        <x:v>https://www.vicorpower.com/products</x:v>
      </x:c>
      <x:c r="V19" s="40" t="str">
        <x:v>2026-07-16</x:v>
      </x:c>
    </x:row>
    <x:row r="20" ht="58" customHeight="1">
      <x:c r="A20" s="32" t="str">
        <x:v>米国</x:v>
      </x:c>
      <x:c r="B20" s="32" t="str">
        <x:v>米国</x:v>
      </x:c>
      <x:c r="C20" s="32" t="str">
        <x:v>Skyworks Solutions</x:v>
      </x:c>
      <x:c r="D20" s="32" t="str">
        <x:v>Silicon Labsのインフラ・車載事業を取得</x:v>
      </x:c>
      <x:c r="E20" s="32" t="str">
        <x:v>https://www.skyworksinc.com/</x:v>
      </x:c>
      <x:c r="F20" s="32" t="str">
        <x:v>https://www.skyworksinc.com/en/Products/Power-Isolators</x:v>
      </x:c>
      <x:c r="G20" s="32" t="str">
        <x:v>RF＋絶縁／車載アナログ</x:v>
      </x:c>
      <x:c r="H20" s="40" t="str">
        <x:v>●</x:v>
      </x:c>
      <x:c r="I20" s="40" t="str">
        <x:v>△</x:v>
      </x:c>
      <x:c r="J20" s="40" t="str">
        <x:v>—</x:v>
      </x:c>
      <x:c r="K20" s="40" t="str">
        <x:v>—</x:v>
      </x:c>
      <x:c r="L20" s="40" t="str">
        <x:v>—</x:v>
      </x:c>
      <x:c r="M20" s="40" t="str">
        <x:v>●</x:v>
      </x:c>
      <x:c r="N20" s="40" t="str">
        <x:v>—</x:v>
      </x:c>
      <x:c r="O20" s="40" t="str">
        <x:v>—</x:v>
      </x:c>
      <x:c r="P20" s="40" t="str">
        <x:v>—</x:v>
      </x:c>
      <x:c r="Q20" s="40" t="str">
        <x:v>—</x:v>
      </x:c>
      <x:c r="R20" s="42" t="n">
        <x:f>COUNTIF(I20:Q20,"●")+0.5*COUNTIF(I20:Q20,"△")</x:f>
        <x:v>1.5</x:v>
      </x:c>
      <x:c r="S20" s="32" t="str">
        <x:v>絶縁ゲートドライバー、デジタルアイソレーター、絶縁型DC-DC内蔵品、車載インターフェース。</x:v>
      </x:c>
      <x:c r="T20" s="32" t="str">
        <x:v>絶縁・EMC・車載品質を軸に、SiC/IGBT駆動や産業電源で競合。RF事業とのポートフォリオ分散が特徴。</x:v>
      </x:c>
      <x:c r="U20" s="32" t="str">
        <x:v>https://www.skyworksinc.com/en/Products/Power-Isolators</x:v>
      </x:c>
      <x:c r="V20" s="40" t="str">
        <x:v>2026-07-16</x:v>
      </x:c>
    </x:row>
    <x:row r="21" ht="58" customHeight="1">
      <x:c r="A21" s="32" t="str">
        <x:v>米国</x:v>
      </x:c>
      <x:c r="B21" s="32" t="str">
        <x:v>米国</x:v>
      </x:c>
      <x:c r="C21" s="32" t="str">
        <x:v>Qorvo</x:v>
      </x:c>
      <x:c r="D21" s="32" t="str">
        <x:v>UnitedSiC、Active-Semi等を統合</x:v>
      </x:c>
      <x:c r="E21" s="32" t="str">
        <x:v>https://www.qorvo.com/</x:v>
      </x:c>
      <x:c r="F21" s="32" t="str">
        <x:v>https://www.qorvo.com/products/power-management</x:v>
      </x:c>
      <x:c r="G21" s="32" t="str">
        <x:v>RF＋パワー／電源IC</x:v>
      </x:c>
      <x:c r="H21" s="40" t="str">
        <x:v>△</x:v>
      </x:c>
      <x:c r="I21" s="40" t="str">
        <x:v>△</x:v>
      </x:c>
      <x:c r="J21" s="40" t="str">
        <x:v>—</x:v>
      </x:c>
      <x:c r="K21" s="40" t="str">
        <x:v>—</x:v>
      </x:c>
      <x:c r="L21" s="40" t="str">
        <x:v>—</x:v>
      </x:c>
      <x:c r="M21" s="40" t="str">
        <x:v>●</x:v>
      </x:c>
      <x:c r="N21" s="40" t="str">
        <x:v>—</x:v>
      </x:c>
      <x:c r="O21" s="40" t="str">
        <x:v>—</x:v>
      </x:c>
      <x:c r="P21" s="40" t="str">
        <x:v>●</x:v>
      </x:c>
      <x:c r="Q21" s="40" t="str">
        <x:v>●</x:v>
      </x:c>
      <x:c r="R21" s="42" t="n">
        <x:f>COUNTIF(I21:Q21,"●")+0.5*COUNTIF(I21:Q21,"△")</x:f>
        <x:v>3.5</x:v>
      </x:c>
      <x:c r="S21" s="32" t="str">
        <x:v>SiC FET、GaN RF/パワー、モーター制御、PMIC、バッテリー管理、プログラマブル電源、ゲートドライバー。</x:v>
      </x:c>
      <x:c r="T21" s="32" t="str">
        <x:v>RF、SiC、モーター／電源制御を横断。産業、家電、データセンター、EV電源への拡張を進める。</x:v>
      </x:c>
      <x:c r="U21" s="32" t="str">
        <x:v>https://www.qorvo.com/products/power-management</x:v>
      </x:c>
      <x:c r="V21" s="40" t="str">
        <x:v>2026-07-16</x:v>
      </x:c>
    </x:row>
  </x:sheetData>
  <x:mergeCells>
    <x:mergeCell ref="A1:V1"/>
    <x:mergeCell ref="A2:V2"/>
  </x:mergeCells>
  <x:conditionalFormatting sqref="H4:Q21">
    <x:cfRule type="expression" dxfId="0" priority="1">
      <x:formula>H4="●"</x:formula>
    </x:cfRule>
    <x:cfRule type="expression" dxfId="1" priority="2">
      <x:formula>H4="△"</x:formula>
    </x:cfRule>
    <x:cfRule type="expression" dxfId="2" priority="3">
      <x:formula>H4="—"</x:formula>
    </x:cfRule>
  </x:conditionalFormatting>
  <x:pageMargins left="0.7" right="0.7" top="0.75" bottom="0.75" header="0.3" footer="0.3"/>
  <x:tableParts count="1">
    <x:tablePart xmlns:r="http://schemas.openxmlformats.org/officeDocument/2006/relationships" r:id="R7df16c48bf854ab7"/>
  </x:tableParts>
</x:worksheet>
</file>

<file path=xl/worksheets/sheet3.xml><?xml version="1.0" encoding="utf-8"?>
<x:worksheet xmlns:x="http://schemas.openxmlformats.org/spreadsheetml/2006/main">
  <x:sheetFormatPr defaultRowHeight="15"/>
  <x:cols>
    <x:col min="1" max="1" width="8" hidden="0" customWidth="1"/>
    <x:col min="2" max="2" width="12" hidden="0" customWidth="1"/>
    <x:col min="3" max="3" width="27" hidden="0" customWidth="1"/>
    <x:col min="4" max="4" width="25" hidden="0" customWidth="1"/>
    <x:col min="5" max="5" width="31" hidden="0" customWidth="1"/>
    <x:col min="6" max="6" width="31" hidden="0" customWidth="1"/>
    <x:col min="7" max="7" width="24"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8" hidden="0" customWidth="1"/>
    <x:col min="20" max="20" width="38" hidden="0" customWidth="1"/>
    <x:col min="21" max="21" width="34" hidden="0" customWidth="1"/>
    <x:col min="22" max="22" width="12" hidden="0" customWidth="1"/>
  </x:cols>
  <x:sheetData>
    <x:row r="1" ht="28" customHeight="1">
      <x:c r="A1" s="5" t="str">
        <x:v>欧州：アナログ／パワー半導体企業一覧</x:v>
      </x:c>
      <x:c r="B1" s="5"/>
      <x:c r="C1" s="5"/>
      <x:c r="D1" s="5"/>
      <x:c r="E1" s="5"/>
      <x:c r="F1" s="5"/>
      <x:c r="G1" s="5"/>
      <x:c r="H1" s="5"/>
      <x:c r="I1" s="5"/>
      <x:c r="J1" s="5"/>
      <x:c r="K1" s="5"/>
      <x:c r="L1" s="5"/>
      <x:c r="M1" s="5"/>
      <x:c r="N1" s="5"/>
      <x:c r="O1" s="5"/>
      <x:c r="P1" s="5"/>
      <x:c r="Q1" s="5"/>
      <x:c r="R1" s="5"/>
      <x:c r="S1" s="5"/>
      <x:c r="T1" s="5"/>
      <x:c r="U1" s="5"/>
      <x:c r="V1" s="5"/>
    </x:row>
    <x:row r="2" ht="26" customHeight="1">
      <x:c r="A2" s="12" t="str">
        <x:v>凡例：●＝主要かつ明確な製品群、△＝限定的・統合品・特定用途中心、—＝公開カタログ上で明確な製品群を確認できず</x:v>
      </x:c>
      <x:c r="B2" s="12"/>
      <x:c r="C2" s="12"/>
      <x:c r="D2" s="12"/>
      <x:c r="E2" s="12"/>
      <x:c r="F2" s="12"/>
      <x:c r="G2" s="12"/>
      <x:c r="H2" s="12"/>
      <x:c r="I2" s="12"/>
      <x:c r="J2" s="12"/>
      <x:c r="K2" s="12"/>
      <x:c r="L2" s="12"/>
      <x:c r="M2" s="12"/>
      <x:c r="N2" s="12"/>
      <x:c r="O2" s="12"/>
      <x:c r="P2" s="12"/>
      <x:c r="Q2" s="12"/>
      <x:c r="R2" s="12"/>
      <x:c r="S2" s="12"/>
      <x:c r="T2" s="12"/>
      <x:c r="U2" s="12"/>
      <x:c r="V2" s="12"/>
    </x:row>
    <x:row r="3" ht="42" customHeight="1">
      <x:c r="A3" s="20" t="str">
        <x:v>地域</x:v>
      </x:c>
      <x:c r="B3" s="20" t="str">
        <x:v>国・地域</x:v>
      </x:c>
      <x:c r="C3" s="20" t="str">
        <x:v>企業名</x:v>
      </x:c>
      <x:c r="D3" s="20" t="str">
        <x:v>親会社・ブランド状況</x:v>
      </x:c>
      <x:c r="E3" s="20" t="str">
        <x:v>カンパニーURL</x:v>
      </x:c>
      <x:c r="F3" s="20" t="str">
        <x:v>公式製品URL</x:v>
      </x:c>
      <x:c r="G3" s="20" t="str">
        <x:v>企業タイプ</x:v>
      </x:c>
      <x:c r="H3" s="20" t="str">
        <x:v>車載対応</x:v>
      </x:c>
      <x:c r="I3" s="20" t="str">
        <x:v>DC-DC / PMIC</x:v>
      </x:c>
      <x:c r="J3" s="20" t="str">
        <x:v>LDO</x:v>
      </x:c>
      <x:c r="K3" s="20" t="str">
        <x:v>LEDドライバー</x:v>
      </x:c>
      <x:c r="L3" s="20" t="str">
        <x:v>AC-DC</x:v>
      </x:c>
      <x:c r="M3" s="20" t="str">
        <x:v>ゲートドライバー</x:v>
      </x:c>
      <x:c r="N3" s="20" t="str">
        <x:v>ロードスイッチ / eFuse</x:v>
      </x:c>
      <x:c r="O3" s="20" t="str">
        <x:v>アイデアルダイオード / ORing</x:v>
      </x:c>
      <x:c r="P3" s="20" t="str">
        <x:v>GaNパワーIC / デバイス</x:v>
      </x:c>
      <x:c r="Q3" s="20" t="str">
        <x:v>パワーディスクリート / モジュール</x:v>
      </x:c>
      <x:c r="R3" s="20" t="str">
        <x:v>製品群幅スコア</x:v>
      </x:c>
      <x:c r="S3" s="20" t="str">
        <x:v>主な製品群概要</x:v>
      </x:c>
      <x:c r="T3" s="20" t="str">
        <x:v>市場での位置づけ</x:v>
      </x:c>
      <x:c r="U3" s="20" t="str">
        <x:v>確認ソースURL</x:v>
      </x:c>
      <x:c r="V3" s="20" t="str">
        <x:v>確認日</x:v>
      </x:c>
    </x:row>
    <x:row r="4" ht="58" customHeight="1">
      <x:c r="A4" s="32" t="str">
        <x:v>欧州</x:v>
      </x:c>
      <x:c r="B4" s="32" t="str">
        <x:v>ドイツ</x:v>
      </x:c>
      <x:c r="C4" s="32" t="str">
        <x:v>Infineon Technologies</x:v>
      </x:c>
      <x:c r="D4" s="32" t="str">
        <x:v>International Rectifier、GaN Systems等を統合</x:v>
      </x:c>
      <x:c r="E4" s="32" t="str">
        <x:v>https://www.infineon.com/</x:v>
      </x:c>
      <x:c r="F4" s="32" t="str">
        <x:v>https://www.infineon.com/products/power</x:v>
      </x:c>
      <x:c r="G4" s="32" t="str">
        <x:v>総合パワー／車載半導体大手</x:v>
      </x:c>
      <x:c r="H4" s="40" t="str">
        <x:v>●</x:v>
      </x:c>
      <x:c r="I4" s="40" t="str">
        <x:v>●</x:v>
      </x:c>
      <x:c r="J4" s="40" t="str">
        <x:v>●</x:v>
      </x:c>
      <x:c r="K4" s="40" t="str">
        <x:v>●</x:v>
      </x:c>
      <x:c r="L4" s="40" t="str">
        <x:v>●</x:v>
      </x:c>
      <x:c r="M4" s="40" t="str">
        <x:v>●</x:v>
      </x:c>
      <x:c r="N4" s="40" t="str">
        <x:v>●</x:v>
      </x:c>
      <x:c r="O4" s="40" t="str">
        <x:v>△</x:v>
      </x:c>
      <x:c r="P4" s="40" t="str">
        <x:v>●</x:v>
      </x:c>
      <x:c r="Q4" s="40" t="str">
        <x:v>●</x:v>
      </x:c>
      <x:c r="R4" s="42" t="n">
        <x:f>COUNTIF(I4:Q4,"●")+0.5*COUNTIF(I4:Q4,"△")</x:f>
        <x:v>8.5</x:v>
      </x:c>
      <x:c r="S4" s="32" t="str">
        <x:v>OPTIREG、DC-DC/LDO、LED、AC-DC/PFC、EiceDRIVER、PROFET、Ideal Diode/ORing系、CoolGaN、CoolSiC、MOSFET/IGBT。</x:v>
      </x:c>
      <x:c r="T4" s="32" t="str">
        <x:v>車載・産業パワーの世界最大級プレイヤー。IC、ディスクリート、モジュール、制御ソフトまで垂直展開。</x:v>
      </x:c>
      <x:c r="U4" s="32" t="str">
        <x:v>https://www.infineon.com/products/power</x:v>
      </x:c>
      <x:c r="V4" s="40" t="str">
        <x:v>2026-07-16</x:v>
      </x:c>
    </x:row>
    <x:row r="5" ht="58" customHeight="1">
      <x:c r="A5" s="32" t="str">
        <x:v>欧州</x:v>
      </x:c>
      <x:c r="B5" s="32" t="str">
        <x:v>スイス／フランス</x:v>
      </x:c>
      <x:c r="C5" s="32" t="str">
        <x:v>STMicroelectronics</x:v>
      </x:c>
      <x:c r="D5" s="32" t="str">
        <x:v>独立企業</x:v>
      </x:c>
      <x:c r="E5" s="32" t="str">
        <x:v>https://www.st.com/</x:v>
      </x:c>
      <x:c r="F5" s="32" t="str">
        <x:v>https://www.st.com/en/power-management.html</x:v>
      </x:c>
      <x:c r="G5" s="32" t="str">
        <x:v>総合半導体／パワー大手</x:v>
      </x:c>
      <x:c r="H5" s="40" t="str">
        <x:v>●</x:v>
      </x:c>
      <x:c r="I5" s="40" t="str">
        <x:v>●</x:v>
      </x:c>
      <x:c r="J5" s="40" t="str">
        <x:v>●</x:v>
      </x:c>
      <x:c r="K5" s="40" t="str">
        <x:v>●</x:v>
      </x:c>
      <x:c r="L5" s="40" t="str">
        <x:v>●</x:v>
      </x:c>
      <x:c r="M5" s="40" t="str">
        <x:v>●</x:v>
      </x:c>
      <x:c r="N5" s="40" t="str">
        <x:v>●</x:v>
      </x:c>
      <x:c r="O5" s="40" t="str">
        <x:v>△</x:v>
      </x:c>
      <x:c r="P5" s="40" t="str">
        <x:v>●</x:v>
      </x:c>
      <x:c r="Q5" s="40" t="str">
        <x:v>●</x:v>
      </x:c>
      <x:c r="R5" s="42" t="n">
        <x:f>COUNTIF(I5:Q5,"●")+0.5*COUNTIF(I5:Q5,"△")</x:f>
        <x:v>8.5</x:v>
      </x:c>
      <x:c r="S5" s="32" t="str">
        <x:v>DC-DC、LDO、LED、AC-DC、PFC、VIPer、STi2GaN、ゲートドライバー、IPS、eFuse、SiC/GaN/MOSFET。</x:v>
      </x:c>
      <x:c r="T5" s="32" t="str">
        <x:v>MCU、センサー、車載、パワーを一括提案。産業・家電・EVの広い顧客基盤を持つ。</x:v>
      </x:c>
      <x:c r="U5" s="32" t="str">
        <x:v>https://www.st.com/en/power-management.html</x:v>
      </x:c>
      <x:c r="V5" s="40" t="str">
        <x:v>2026-07-16</x:v>
      </x:c>
    </x:row>
    <x:row r="6" ht="58" customHeight="1">
      <x:c r="A6" s="32" t="str">
        <x:v>欧州</x:v>
      </x:c>
      <x:c r="B6" s="32" t="str">
        <x:v>オランダ</x:v>
      </x:c>
      <x:c r="C6" s="32" t="str">
        <x:v>NXP Semiconductors</x:v>
      </x:c>
      <x:c r="D6" s="32" t="str">
        <x:v>Freescaleを統合</x:v>
      </x:c>
      <x:c r="E6" s="32" t="str">
        <x:v>https://www.nxp.com/</x:v>
      </x:c>
      <x:c r="F6" s="32" t="str">
        <x:v>https://www.nxp.com/products/power-management:POWER-MANAGEMENT</x:v>
      </x:c>
      <x:c r="G6" s="32" t="str">
        <x:v>車載・エッジ向け総合半導体</x:v>
      </x:c>
      <x:c r="H6" s="40" t="str">
        <x:v>●</x:v>
      </x:c>
      <x:c r="I6" s="40" t="str">
        <x:v>●</x:v>
      </x:c>
      <x:c r="J6" s="40" t="str">
        <x:v>●</x:v>
      </x:c>
      <x:c r="K6" s="40" t="str">
        <x:v>●</x:v>
      </x:c>
      <x:c r="L6" s="40" t="str">
        <x:v>△</x:v>
      </x:c>
      <x:c r="M6" s="40" t="str">
        <x:v>●</x:v>
      </x:c>
      <x:c r="N6" s="40" t="str">
        <x:v>●</x:v>
      </x:c>
      <x:c r="O6" s="40" t="str">
        <x:v>△</x:v>
      </x:c>
      <x:c r="P6" s="40" t="str">
        <x:v>—</x:v>
      </x:c>
      <x:c r="Q6" s="40" t="str">
        <x:v>—</x:v>
      </x:c>
      <x:c r="R6" s="42" t="n">
        <x:f>COUNTIF(I6:Q6,"●")+0.5*COUNTIF(I6:Q6,"△")</x:f>
        <x:v>6</x:v>
      </x:c>
      <x:c r="S6" s="32" t="str">
        <x:v>車載PMIC、SBC、DC-DC/LDO、LEDドライバー、ハイサイド／ローサイドスイッチ、ゲートプリドライバー、バッテリー管理。</x:v>
      </x:c>
      <x:c r="T6" s="32" t="str">
        <x:v>車載MCU/プロセッサとのプラットフォーム提案が強み。ゾーン／ドメインECU用PMICとスマートスイッチが中核。</x:v>
      </x:c>
      <x:c r="U6" s="32" t="str">
        <x:v>https://www.nxp.com/products/power-management:POWER-MANAGEMENT</x:v>
      </x:c>
      <x:c r="V6" s="40" t="str">
        <x:v>2026-07-16</x:v>
      </x:c>
    </x:row>
    <x:row r="7" ht="58" customHeight="1">
      <x:c r="A7" s="32" t="str">
        <x:v>欧州</x:v>
      </x:c>
      <x:c r="B7" s="32" t="str">
        <x:v>オランダ</x:v>
      </x:c>
      <x:c r="C7" s="32" t="str">
        <x:v>Nexperia</x:v>
      </x:c>
      <x:c r="D7" s="32" t="str">
        <x:v>独立企業（Wingtech傘下）</x:v>
      </x:c>
      <x:c r="E7" s="32" t="str">
        <x:v>https://www.nexperia.com/</x:v>
      </x:c>
      <x:c r="F7" s="32" t="str">
        <x:v>https://www.nexperia.com/products/analog-logic-ics/power-management</x:v>
      </x:c>
      <x:c r="G7" s="32" t="str">
        <x:v>エッセンシャル半導体／パワー</x:v>
      </x:c>
      <x:c r="H7" s="40" t="str">
        <x:v>●</x:v>
      </x:c>
      <x:c r="I7" s="40" t="str">
        <x:v>△</x:v>
      </x:c>
      <x:c r="J7" s="40" t="str">
        <x:v>—</x:v>
      </x:c>
      <x:c r="K7" s="40" t="str">
        <x:v>●</x:v>
      </x:c>
      <x:c r="L7" s="40" t="str">
        <x:v>—</x:v>
      </x:c>
      <x:c r="M7" s="40" t="str">
        <x:v>●</x:v>
      </x:c>
      <x:c r="N7" s="40" t="str">
        <x:v>●</x:v>
      </x:c>
      <x:c r="O7" s="40" t="str">
        <x:v>●</x:v>
      </x:c>
      <x:c r="P7" s="40" t="str">
        <x:v>●</x:v>
      </x:c>
      <x:c r="Q7" s="40" t="str">
        <x:v>●</x:v>
      </x:c>
      <x:c r="R7" s="42" t="n">
        <x:f>COUNTIF(I7:Q7,"●")+0.5*COUNTIF(I7:Q7,"△")</x:f>
        <x:v>6.5</x:v>
      </x:c>
      <x:c r="S7" s="32" t="str">
        <x:v>車載LEDドライバー、eFuse/ロードスイッチ、理想ダイオード、ゲートドライバー、GaN FET、SiC、MOSFET、ダイオード。</x:v>
      </x:c>
      <x:c r="T7" s="32" t="str">
        <x:v>高量産・高品質の標準品と車載適合が強み。ディスクリートからアナログ電源ICへ拡張中。</x:v>
      </x:c>
      <x:c r="U7" s="32" t="str">
        <x:v>https://www.nexperia.com/products/analog-logic-ics/power-management</x:v>
      </x:c>
      <x:c r="V7" s="40" t="str">
        <x:v>2026-07-16</x:v>
      </x:c>
    </x:row>
    <x:row r="8" ht="58" customHeight="1">
      <x:c r="A8" s="32" t="str">
        <x:v>欧州</x:v>
      </x:c>
      <x:c r="B8" s="32" t="str">
        <x:v>ベルギー</x:v>
      </x:c>
      <x:c r="C8" s="32" t="str">
        <x:v>Melexis</x:v>
      </x:c>
      <x:c r="D8" s="32" t="str">
        <x:v>独立企業</x:v>
      </x:c>
      <x:c r="E8" s="32" t="str">
        <x:v>https://www.melexis.com/</x:v>
      </x:c>
      <x:c r="F8" s="32" t="str">
        <x:v>https://www.melexis.com/en/product-category/power-drivers</x:v>
      </x:c>
      <x:c r="G8" s="32" t="str">
        <x:v>車載センサー／ドライバー専業</x:v>
      </x:c>
      <x:c r="H8" s="40" t="str">
        <x:v>●</x:v>
      </x:c>
      <x:c r="I8" s="40" t="str">
        <x:v>—</x:v>
      </x:c>
      <x:c r="J8" s="40" t="str">
        <x:v>—</x:v>
      </x:c>
      <x:c r="K8" s="40" t="str">
        <x:v>●</x:v>
      </x:c>
      <x:c r="L8" s="40" t="str">
        <x:v>—</x:v>
      </x:c>
      <x:c r="M8" s="40" t="str">
        <x:v>●</x:v>
      </x:c>
      <x:c r="N8" s="40" t="str">
        <x:v>△</x:v>
      </x:c>
      <x:c r="O8" s="40" t="str">
        <x:v>—</x:v>
      </x:c>
      <x:c r="P8" s="40" t="str">
        <x:v>—</x:v>
      </x:c>
      <x:c r="Q8" s="40" t="str">
        <x:v>—</x:v>
      </x:c>
      <x:c r="R8" s="42" t="n">
        <x:f>COUNTIF(I8:Q8,"●")+0.5*COUNTIF(I8:Q8,"△")</x:f>
        <x:v>2.5</x:v>
      </x:c>
      <x:c r="S8" s="32" t="str">
        <x:v>車載LEDドライバー、モータープリドライバー、スマートドライバー、ファン・ポンプ・照明制御、磁気／温度センサー。</x:v>
      </x:c>
      <x:c r="T8" s="32" t="str">
        <x:v>センサーとアクチュエータ駆動を組み合わせた車載ASSPに強い。照明・熱管理・小型モーターが主戦場。</x:v>
      </x:c>
      <x:c r="U8" s="32" t="str">
        <x:v>https://www.melexis.com/en/product-category/power-drivers</x:v>
      </x:c>
      <x:c r="V8" s="40" t="str">
        <x:v>2026-07-16</x:v>
      </x:c>
    </x:row>
    <x:row r="9" ht="58" customHeight="1">
      <x:c r="A9" s="32" t="str">
        <x:v>欧州</x:v>
      </x:c>
      <x:c r="B9" s="32" t="str">
        <x:v>ドイツ</x:v>
      </x:c>
      <x:c r="C9" s="32" t="str">
        <x:v>Elmos Semiconductor</x:v>
      </x:c>
      <x:c r="D9" s="32" t="str">
        <x:v>独立企業</x:v>
      </x:c>
      <x:c r="E9" s="32" t="str">
        <x:v>https://www.elmos.com/</x:v>
      </x:c>
      <x:c r="F9" s="32" t="str">
        <x:v>https://www.elmos.com/english/products/</x:v>
      </x:c>
      <x:c r="G9" s="32" t="str">
        <x:v>車載ミックスドシグナルASIC/ASSP</x:v>
      </x:c>
      <x:c r="H9" s="40" t="str">
        <x:v>●</x:v>
      </x:c>
      <x:c r="I9" s="40" t="str">
        <x:v>△</x:v>
      </x:c>
      <x:c r="J9" s="40" t="str">
        <x:v>△</x:v>
      </x:c>
      <x:c r="K9" s="40" t="str">
        <x:v>●</x:v>
      </x:c>
      <x:c r="L9" s="40" t="str">
        <x:v>—</x:v>
      </x:c>
      <x:c r="M9" s="40" t="str">
        <x:v>●</x:v>
      </x:c>
      <x:c r="N9" s="40" t="str">
        <x:v>●</x:v>
      </x:c>
      <x:c r="O9" s="40" t="str">
        <x:v>—</x:v>
      </x:c>
      <x:c r="P9" s="40" t="str">
        <x:v>—</x:v>
      </x:c>
      <x:c r="Q9" s="40" t="str">
        <x:v>—</x:v>
      </x:c>
      <x:c r="R9" s="42" t="n">
        <x:f>COUNTIF(I9:Q9,"●")+0.5*COUNTIF(I9:Q9,"△")</x:f>
        <x:v>4</x:v>
      </x:c>
      <x:c r="S9" s="32" t="str">
        <x:v>車載LEDドライバー、DC-DC/LDO、モーター・ゲートドライバー、ハイサイド／ローサイドスイッチ、センサーIC。</x:v>
      </x:c>
      <x:c r="T9" s="32" t="str">
        <x:v>車載ボディ、照明、モーター、超音波などの高集積ASSPに特化。欧州Tier 1との関係が強い。</x:v>
      </x:c>
      <x:c r="U9" s="32" t="str">
        <x:v>https://www.elmos.com/english/products/</x:v>
      </x:c>
      <x:c r="V9" s="40" t="str">
        <x:v>2026-07-16</x:v>
      </x:c>
    </x:row>
    <x:row r="10" ht="58" customHeight="1">
      <x:c r="A10" s="32" t="str">
        <x:v>欧州</x:v>
      </x:c>
      <x:c r="B10" s="32" t="str">
        <x:v>オーストリア／ドイツ</x:v>
      </x:c>
      <x:c r="C10" s="32" t="str">
        <x:v>ams OSRAM</x:v>
      </x:c>
      <x:c r="D10" s="32" t="str">
        <x:v>amsとOSRAMの統合企業</x:v>
      </x:c>
      <x:c r="E10" s="32" t="str">
        <x:v>https://ams-osram.com/</x:v>
      </x:c>
      <x:c r="F10" s="32" t="str">
        <x:v>https://ams-osram.com/products/drivers</x:v>
      </x:c>
      <x:c r="G10" s="32" t="str">
        <x:v>光半導体＋アナログIC</x:v>
      </x:c>
      <x:c r="H10" s="40" t="str">
        <x:v>●</x:v>
      </x:c>
      <x:c r="I10" s="40" t="str">
        <x:v>△</x:v>
      </x:c>
      <x:c r="J10" s="40" t="str">
        <x:v>△</x:v>
      </x:c>
      <x:c r="K10" s="40" t="str">
        <x:v>●</x:v>
      </x:c>
      <x:c r="L10" s="40" t="str">
        <x:v>—</x:v>
      </x:c>
      <x:c r="M10" s="40" t="str">
        <x:v>△</x:v>
      </x:c>
      <x:c r="N10" s="40" t="str">
        <x:v>—</x:v>
      </x:c>
      <x:c r="O10" s="40" t="str">
        <x:v>—</x:v>
      </x:c>
      <x:c r="P10" s="40" t="str">
        <x:v>—</x:v>
      </x:c>
      <x:c r="Q10" s="40" t="str">
        <x:v>—</x:v>
      </x:c>
      <x:c r="R10" s="42" t="n">
        <x:f>COUNTIF(I10:Q10,"●")+0.5*COUNTIF(I10:Q10,"△")</x:f>
        <x:v>2.5</x:v>
      </x:c>
      <x:c r="S10" s="32" t="str">
        <x:v>車載／民生LEDドライバー、ディスプレイ・バックライト、レーザー／VCSELドライバー、センサー用電源・インターフェース。</x:v>
      </x:c>
      <x:c r="T10" s="32" t="str">
        <x:v>LED・光源・センサーとドライバーICをセット提案。車載照明、ディスプレイ、スマートフォン光学で強い。</x:v>
      </x:c>
      <x:c r="U10" s="32" t="str">
        <x:v>https://ams-osram.com/products/drivers</x:v>
      </x:c>
      <x:c r="V10" s="40" t="str">
        <x:v>2026-07-16</x:v>
      </x:c>
    </x:row>
    <x:row r="11" ht="58" customHeight="1">
      <x:c r="A11" s="32" t="str">
        <x:v>欧州</x:v>
      </x:c>
      <x:c r="B11" s="32" t="str">
        <x:v>ドイツ</x:v>
      </x:c>
      <x:c r="C11" s="32" t="str">
        <x:v>iC-Haus</x:v>
      </x:c>
      <x:c r="D11" s="32" t="str">
        <x:v>独立企業</x:v>
      </x:c>
      <x:c r="E11" s="32" t="str">
        <x:v>https://www.ichaus.de/</x:v>
      </x:c>
      <x:c r="F11" s="32" t="str">
        <x:v>https://www.ichaus.de/products</x:v>
      </x:c>
      <x:c r="G11" s="32" t="str">
        <x:v>産業アナログASIC／ドライバー</x:v>
      </x:c>
      <x:c r="H11" s="40" t="str">
        <x:v>△</x:v>
      </x:c>
      <x:c r="I11" s="40" t="str">
        <x:v>—</x:v>
      </x:c>
      <x:c r="J11" s="40" t="str">
        <x:v>—</x:v>
      </x:c>
      <x:c r="K11" s="40" t="str">
        <x:v>●</x:v>
      </x:c>
      <x:c r="L11" s="40" t="str">
        <x:v>—</x:v>
      </x:c>
      <x:c r="M11" s="40" t="str">
        <x:v>△</x:v>
      </x:c>
      <x:c r="N11" s="40" t="str">
        <x:v>—</x:v>
      </x:c>
      <x:c r="O11" s="40" t="str">
        <x:v>—</x:v>
      </x:c>
      <x:c r="P11" s="40" t="str">
        <x:v>—</x:v>
      </x:c>
      <x:c r="Q11" s="40" t="str">
        <x:v>—</x:v>
      </x:c>
      <x:c r="R11" s="42" t="n">
        <x:f>COUNTIF(I11:Q11,"●")+0.5*COUNTIF(I11:Q11,"△")</x:f>
        <x:v>1.5</x:v>
      </x:c>
      <x:c r="S11" s="32" t="str">
        <x:v>高精度LED／レーザーダイオードドライバー、エンコーダIC、センサーインターフェース、ドライバーASIC。</x:v>
      </x:c>
      <x:c r="T11" s="32" t="str">
        <x:v>高精度・高速光源駆動と産業センサーに特化。量販PMICよりもニッチ高性能市場で差別化。</x:v>
      </x:c>
      <x:c r="U11" s="32" t="str">
        <x:v>https://www.ichaus.de/products</x:v>
      </x:c>
      <x:c r="V11" s="40" t="str">
        <x:v>2026-07-16</x:v>
      </x:c>
    </x:row>
    <x:row r="12" ht="58" customHeight="1">
      <x:c r="A12" s="32" t="str">
        <x:v>欧州</x:v>
      </x:c>
      <x:c r="B12" s="32" t="str">
        <x:v>ベルギー</x:v>
      </x:c>
      <x:c r="C12" s="32" t="str">
        <x:v>e-peas</x:v>
      </x:c>
      <x:c r="D12" s="32" t="str">
        <x:v>独立企業</x:v>
      </x:c>
      <x:c r="E12" s="32" t="str">
        <x:v>https://e-peas.com/</x:v>
      </x:c>
      <x:c r="F12" s="32" t="str">
        <x:v>https://e-peas.com/products/</x:v>
      </x:c>
      <x:c r="G12" s="32" t="str">
        <x:v>環境発電PMIC専業</x:v>
      </x:c>
      <x:c r="H12" s="40" t="str">
        <x:v>△</x:v>
      </x:c>
      <x:c r="I12" s="40" t="str">
        <x:v>●</x:v>
      </x:c>
      <x:c r="J12" s="40" t="str">
        <x:v>△</x:v>
      </x:c>
      <x:c r="K12" s="40" t="str">
        <x:v>—</x:v>
      </x:c>
      <x:c r="L12" s="40" t="str">
        <x:v>—</x:v>
      </x:c>
      <x:c r="M12" s="40" t="str">
        <x:v>—</x:v>
      </x:c>
      <x:c r="N12" s="40" t="str">
        <x:v>—</x:v>
      </x:c>
      <x:c r="O12" s="40" t="str">
        <x:v>—</x:v>
      </x:c>
      <x:c r="P12" s="40" t="str">
        <x:v>—</x:v>
      </x:c>
      <x:c r="Q12" s="40" t="str">
        <x:v>—</x:v>
      </x:c>
      <x:c r="R12" s="42" t="n">
        <x:f>COUNTIF(I12:Q12,"●")+0.5*COUNTIF(I12:Q12,"△")</x:f>
        <x:v>1.5</x:v>
      </x:c>
      <x:c r="S12" s="32" t="str">
        <x:v>太陽光・熱・振動・RFエネルギーハーベスティングPMIC、蓄電管理、超低消費電力電源。</x:v>
      </x:c>
      <x:c r="T12" s="32" t="str">
        <x:v>バッテリーレスIoTと超低電力電源に特化。市場規模は限定的だが技術差別化が明確。</x:v>
      </x:c>
      <x:c r="U12" s="32" t="str">
        <x:v>https://e-peas.com/products/</x:v>
      </x:c>
      <x:c r="V12" s="40" t="str">
        <x:v>2026-07-16</x:v>
      </x:c>
    </x:row>
    <x:row r="13" ht="58" customHeight="1">
      <x:c r="A13" s="32" t="str">
        <x:v>欧州</x:v>
      </x:c>
      <x:c r="B13" s="32" t="str">
        <x:v>ノルウェー</x:v>
      </x:c>
      <x:c r="C13" s="32" t="str">
        <x:v>Nordic Semiconductor</x:v>
      </x:c>
      <x:c r="D13" s="32" t="str">
        <x:v>独立企業</x:v>
      </x:c>
      <x:c r="E13" s="32" t="str">
        <x:v>https://www.nordicsemi.com/</x:v>
      </x:c>
      <x:c r="F13" s="32" t="str">
        <x:v>https://www.nordicsemi.com/Products/Power-Management</x:v>
      </x:c>
      <x:c r="G13" s="32" t="str">
        <x:v>無線SoC＋PMIC</x:v>
      </x:c>
      <x:c r="H13" s="40" t="str">
        <x:v>—</x:v>
      </x:c>
      <x:c r="I13" s="40" t="str">
        <x:v>●</x:v>
      </x:c>
      <x:c r="J13" s="40" t="str">
        <x:v>●</x:v>
      </x:c>
      <x:c r="K13" s="40" t="str">
        <x:v>—</x:v>
      </x:c>
      <x:c r="L13" s="40" t="str">
        <x:v>—</x:v>
      </x:c>
      <x:c r="M13" s="40" t="str">
        <x:v>—</x:v>
      </x:c>
      <x:c r="N13" s="40" t="str">
        <x:v>△</x:v>
      </x:c>
      <x:c r="O13" s="40" t="str">
        <x:v>—</x:v>
      </x:c>
      <x:c r="P13" s="40" t="str">
        <x:v>—</x:v>
      </x:c>
      <x:c r="Q13" s="40" t="str">
        <x:v>—</x:v>
      </x:c>
      <x:c r="R13" s="42" t="n">
        <x:f>COUNTIF(I13:Q13,"●")+0.5*COUNTIF(I13:Q13,"△")</x:f>
        <x:v>2.5</x:v>
      </x:c>
      <x:c r="S13" s="32" t="str">
        <x:v>無線SoC向けPMIC、Buck/LDO、バッテリーチャージャ、パワーパス、USB-C電源管理。</x:v>
      </x:c>
      <x:c r="T13" s="32" t="str">
        <x:v>Bluetooth/セルラーIoTのSoCとPMICを組み合わせるエコシステム型。小型バッテリー機器に強い。</x:v>
      </x:c>
      <x:c r="U13" s="32" t="str">
        <x:v>https://www.nordicsemi.com/Products/Power-Management</x:v>
      </x:c>
      <x:c r="V13" s="40" t="str">
        <x:v>2026-07-16</x:v>
      </x:c>
    </x:row>
    <x:row r="14" ht="58" customHeight="1">
      <x:c r="A14" s="32" t="str">
        <x:v>欧州</x:v>
      </x:c>
      <x:c r="B14" s="32" t="str">
        <x:v>英国</x:v>
      </x:c>
      <x:c r="C14" s="32" t="str">
        <x:v>Cambridge GaN Devices (CGD)</x:v>
      </x:c>
      <x:c r="D14" s="32" t="str">
        <x:v>独立企業</x:v>
      </x:c>
      <x:c r="E14" s="32" t="str">
        <x:v>https://cgan.co.uk/</x:v>
      </x:c>
      <x:c r="F14" s="32" t="str">
        <x:v>https://cgan.co.uk/technology/products/</x:v>
      </x:c>
      <x:c r="G14" s="32" t="str">
        <x:v>GaNパワーデバイス専業</x:v>
      </x:c>
      <x:c r="H14" s="40" t="str">
        <x:v>△</x:v>
      </x:c>
      <x:c r="I14" s="40" t="str">
        <x:v>—</x:v>
      </x:c>
      <x:c r="J14" s="40" t="str">
        <x:v>—</x:v>
      </x:c>
      <x:c r="K14" s="40" t="str">
        <x:v>—</x:v>
      </x:c>
      <x:c r="L14" s="40" t="str">
        <x:v>—</x:v>
      </x:c>
      <x:c r="M14" s="40" t="str">
        <x:v>△</x:v>
      </x:c>
      <x:c r="N14" s="40" t="str">
        <x:v>—</x:v>
      </x:c>
      <x:c r="O14" s="40" t="str">
        <x:v>—</x:v>
      </x:c>
      <x:c r="P14" s="40" t="str">
        <x:v>●</x:v>
      </x:c>
      <x:c r="Q14" s="40" t="str">
        <x:v>●</x:v>
      </x:c>
      <x:c r="R14" s="42" t="n">
        <x:f>COUNTIF(I14:Q14,"●")+0.5*COUNTIF(I14:Q14,"△")</x:f>
        <x:v>2.5</x:v>
      </x:c>
      <x:c r="S14" s="32" t="str">
        <x:v>ICeGaN HEMT、ゲート保護・センシングを内蔵するGaNパワーデバイス、評価基板。</x:v>
      </x:c>
      <x:c r="T14" s="32" t="str">
        <x:v>標準シリコンゲートドライバーとの互換性と堅牢性を訴求。民生電源から産業・車載へ拡大。</x:v>
      </x:c>
      <x:c r="U14" s="32" t="str">
        <x:v>https://cgan.co.uk/technology/products/</x:v>
      </x:c>
      <x:c r="V14" s="40" t="str">
        <x:v>2026-07-16</x:v>
      </x:c>
    </x:row>
    <x:row r="15" ht="58" customHeight="1">
      <x:c r="A15" s="32" t="str">
        <x:v>欧州</x:v>
      </x:c>
      <x:c r="B15" s="32" t="str">
        <x:v>英国</x:v>
      </x:c>
      <x:c r="C15" s="32" t="str">
        <x:v>Pulsiv</x:v>
      </x:c>
      <x:c r="D15" s="32" t="str">
        <x:v>独立企業</x:v>
      </x:c>
      <x:c r="E15" s="32" t="str">
        <x:v>https://pulsiv.com/</x:v>
      </x:c>
      <x:c r="F15" s="32" t="str">
        <x:v>https://pulsiv.com/products/</x:v>
      </x:c>
      <x:c r="G15" s="32" t="str">
        <x:v>AC-DCフロントエンド制御専業</x:v>
      </x:c>
      <x:c r="H15" s="40" t="str">
        <x:v>—</x:v>
      </x:c>
      <x:c r="I15" s="40" t="str">
        <x:v>△</x:v>
      </x:c>
      <x:c r="J15" s="40" t="str">
        <x:v>—</x:v>
      </x:c>
      <x:c r="K15" s="40" t="str">
        <x:v>—</x:v>
      </x:c>
      <x:c r="L15" s="40" t="str">
        <x:v>●</x:v>
      </x:c>
      <x:c r="M15" s="40" t="str">
        <x:v>—</x:v>
      </x:c>
      <x:c r="N15" s="40" t="str">
        <x:v>—</x:v>
      </x:c>
      <x:c r="O15" s="40" t="str">
        <x:v>—</x:v>
      </x:c>
      <x:c r="P15" s="40" t="str">
        <x:v>—</x:v>
      </x:c>
      <x:c r="Q15" s="40" t="str">
        <x:v>—</x:v>
      </x:c>
      <x:c r="R15" s="42" t="n">
        <x:f>COUNTIF(I15:Q15,"●")+0.5*COUNTIF(I15:Q15,"△")</x:f>
        <x:v>1.5</x:v>
      </x:c>
      <x:c r="S15" s="32" t="str">
        <x:v>独自Pulsiv OSMIUM方式のAC-DCフロントエンド、PFC、電解コンデンサ削減・低損失化ソリューション。</x:v>
      </x:c>
      <x:c r="T15" s="32" t="str">
        <x:v>従来PFCと異なる制御方式でBOM、熱、効率を差別化。電源メーカーとの協業型ビジネス。</x:v>
      </x:c>
      <x:c r="U15" s="32" t="str">
        <x:v>https://pulsiv.com/products/</x:v>
      </x:c>
      <x:c r="V15" s="40" t="str">
        <x:v>2026-07-16</x:v>
      </x:c>
    </x:row>
    <x:row r="16" ht="58" customHeight="1">
      <x:c r="A16" s="32" t="str">
        <x:v>欧州</x:v>
      </x:c>
      <x:c r="B16" s="32" t="str">
        <x:v>イタリア</x:v>
      </x:c>
      <x:c r="C16" s="32" t="str">
        <x:v>Eggtronic</x:v>
      </x:c>
      <x:c r="D16" s="32" t="str">
        <x:v>独立企業</x:v>
      </x:c>
      <x:c r="E16" s="32" t="str">
        <x:v>https://www.eggtronic.com/</x:v>
      </x:c>
      <x:c r="F16" s="32" t="str">
        <x:v>https://www.eggtronic.com/en/semiconductor</x:v>
      </x:c>
      <x:c r="G16" s="32" t="str">
        <x:v>電源アーキテクチャ／コントローラー</x:v>
      </x:c>
      <x:c r="H16" s="40" t="str">
        <x:v>—</x:v>
      </x:c>
      <x:c r="I16" s="40" t="str">
        <x:v>△</x:v>
      </x:c>
      <x:c r="J16" s="40" t="str">
        <x:v>—</x:v>
      </x:c>
      <x:c r="K16" s="40" t="str">
        <x:v>—</x:v>
      </x:c>
      <x:c r="L16" s="40" t="str">
        <x:v>●</x:v>
      </x:c>
      <x:c r="M16" s="40" t="str">
        <x:v>△</x:v>
      </x:c>
      <x:c r="N16" s="40" t="str">
        <x:v>—</x:v>
      </x:c>
      <x:c r="O16" s="40" t="str">
        <x:v>—</x:v>
      </x:c>
      <x:c r="P16" s="40" t="str">
        <x:v>△</x:v>
      </x:c>
      <x:c r="Q16" s="40" t="str">
        <x:v>—</x:v>
      </x:c>
      <x:c r="R16" s="42" t="n">
        <x:f>COUNTIF(I16:Q16,"●")+0.5*COUNTIF(I16:Q16,"△")</x:f>
        <x:v>2.5</x:v>
      </x:c>
      <x:c r="S16" s="32" t="str">
        <x:v>EcoVoltas AC-DC制御、GaN対応電源コントローラー、ワイヤレス電源IC、急速充電向け技術。</x:v>
      </x:c>
      <x:c r="T16" s="32" t="str">
        <x:v>独自電源トポロジーとライセンス／ICを組み合わせる。小型アダプター・家電・充電器が中心。</x:v>
      </x:c>
      <x:c r="U16" s="32" t="str">
        <x:v>https://www.eggtronic.com/en/semiconductor</x:v>
      </x:c>
      <x:c r="V16" s="40" t="str">
        <x:v>2026-07-16</x:v>
      </x:c>
    </x:row>
    <x:row r="17" ht="58" customHeight="1">
      <x:c r="A17" s="32" t="str">
        <x:v>欧州</x:v>
      </x:c>
      <x:c r="B17" s="32" t="str">
        <x:v>フランス</x:v>
      </x:c>
      <x:c r="C17" s="32" t="str">
        <x:v>Wise Integration</x:v>
      </x:c>
      <x:c r="D17" s="32" t="str">
        <x:v>独立企業</x:v>
      </x:c>
      <x:c r="E17" s="32" t="str">
        <x:v>https://wise-integration.com/</x:v>
      </x:c>
      <x:c r="F17" s="32" t="str">
        <x:v>https://wise-integration.com/products/</x:v>
      </x:c>
      <x:c r="G17" s="32" t="str">
        <x:v>GaNパワーIC＋デジタル制御</x:v>
      </x:c>
      <x:c r="H17" s="40" t="str">
        <x:v>△</x:v>
      </x:c>
      <x:c r="I17" s="40" t="str">
        <x:v>△</x:v>
      </x:c>
      <x:c r="J17" s="40" t="str">
        <x:v>—</x:v>
      </x:c>
      <x:c r="K17" s="40" t="str">
        <x:v>—</x:v>
      </x:c>
      <x:c r="L17" s="40" t="str">
        <x:v>△</x:v>
      </x:c>
      <x:c r="M17" s="40" t="str">
        <x:v>●</x:v>
      </x:c>
      <x:c r="N17" s="40" t="str">
        <x:v>—</x:v>
      </x:c>
      <x:c r="O17" s="40" t="str">
        <x:v>—</x:v>
      </x:c>
      <x:c r="P17" s="40" t="str">
        <x:v>●</x:v>
      </x:c>
      <x:c r="Q17" s="40" t="str">
        <x:v>△</x:v>
      </x:c>
      <x:c r="R17" s="42" t="n">
        <x:f>COUNTIF(I17:Q17,"●")+0.5*COUNTIF(I17:Q17,"△")</x:f>
        <x:v>3.5</x:v>
      </x:c>
      <x:c r="S17" s="32" t="str">
        <x:v>GaNパワーIC、デジタル制御IC、AC-DC／DC-DCリファレンス、ソフトスイッチング電源。</x:v>
      </x:c>
      <x:c r="T17" s="32" t="str">
        <x:v>GaNデバイスとデジタル制御の協調最適化を訴求。高密度充電器、産業・データセンター電源を狙う。</x:v>
      </x:c>
      <x:c r="U17" s="32" t="str">
        <x:v>https://wise-integration.com/products/</x:v>
      </x:c>
      <x:c r="V17" s="40" t="str">
        <x:v>2026-07-16</x:v>
      </x:c>
    </x:row>
  </x:sheetData>
  <x:mergeCells>
    <x:mergeCell ref="A1:V1"/>
    <x:mergeCell ref="A2:V2"/>
  </x:mergeCells>
  <x:conditionalFormatting sqref="H4:Q17">
    <x:cfRule type="expression" dxfId="3" priority="1">
      <x:formula>H4="●"</x:formula>
    </x:cfRule>
    <x:cfRule type="expression" dxfId="4" priority="2">
      <x:formula>H4="△"</x:formula>
    </x:cfRule>
    <x:cfRule type="expression" dxfId="5" priority="3">
      <x:formula>H4="—"</x:formula>
    </x:cfRule>
  </x:conditionalFormatting>
  <x:pageMargins left="0.7" right="0.7" top="0.75" bottom="0.75" header="0.3" footer="0.3"/>
  <x:tableParts count="1">
    <x:tablePart xmlns:r="http://schemas.openxmlformats.org/officeDocument/2006/relationships" r:id="R81d4799edf914d84"/>
  </x:tableParts>
</x:worksheet>
</file>

<file path=xl/worksheets/sheet4.xml><?xml version="1.0" encoding="utf-8"?>
<x:worksheet xmlns:x="http://schemas.openxmlformats.org/spreadsheetml/2006/main">
  <x:sheetFormatPr defaultRowHeight="15"/>
  <x:cols>
    <x:col min="1" max="1" width="8" hidden="0" customWidth="1"/>
    <x:col min="2" max="2" width="12" hidden="0" customWidth="1"/>
    <x:col min="3" max="3" width="27" hidden="0" customWidth="1"/>
    <x:col min="4" max="4" width="25" hidden="0" customWidth="1"/>
    <x:col min="5" max="5" width="31" hidden="0" customWidth="1"/>
    <x:col min="6" max="6" width="31" hidden="0" customWidth="1"/>
    <x:col min="7" max="7" width="24"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8" hidden="0" customWidth="1"/>
    <x:col min="20" max="20" width="38" hidden="0" customWidth="1"/>
    <x:col min="21" max="21" width="34" hidden="0" customWidth="1"/>
    <x:col min="22" max="22" width="12" hidden="0" customWidth="1"/>
  </x:cols>
  <x:sheetData>
    <x:row r="1" ht="28" customHeight="1">
      <x:c r="A1" s="5" t="str">
        <x:v>日本：アナログ／パワー半導体企業一覧</x:v>
      </x:c>
      <x:c r="B1" s="5"/>
      <x:c r="C1" s="5"/>
      <x:c r="D1" s="5"/>
      <x:c r="E1" s="5"/>
      <x:c r="F1" s="5"/>
      <x:c r="G1" s="5"/>
      <x:c r="H1" s="5"/>
      <x:c r="I1" s="5"/>
      <x:c r="J1" s="5"/>
      <x:c r="K1" s="5"/>
      <x:c r="L1" s="5"/>
      <x:c r="M1" s="5"/>
      <x:c r="N1" s="5"/>
      <x:c r="O1" s="5"/>
      <x:c r="P1" s="5"/>
      <x:c r="Q1" s="5"/>
      <x:c r="R1" s="5"/>
      <x:c r="S1" s="5"/>
      <x:c r="T1" s="5"/>
      <x:c r="U1" s="5"/>
      <x:c r="V1" s="5"/>
    </x:row>
    <x:row r="2" ht="26" customHeight="1">
      <x:c r="A2" s="12" t="str">
        <x:v>凡例：●＝主要かつ明確な製品群、△＝限定的・統合品・特定用途中心、—＝公開カタログ上で明確な製品群を確認できず</x:v>
      </x:c>
      <x:c r="B2" s="12"/>
      <x:c r="C2" s="12"/>
      <x:c r="D2" s="12"/>
      <x:c r="E2" s="12"/>
      <x:c r="F2" s="12"/>
      <x:c r="G2" s="12"/>
      <x:c r="H2" s="12"/>
      <x:c r="I2" s="12"/>
      <x:c r="J2" s="12"/>
      <x:c r="K2" s="12"/>
      <x:c r="L2" s="12"/>
      <x:c r="M2" s="12"/>
      <x:c r="N2" s="12"/>
      <x:c r="O2" s="12"/>
      <x:c r="P2" s="12"/>
      <x:c r="Q2" s="12"/>
      <x:c r="R2" s="12"/>
      <x:c r="S2" s="12"/>
      <x:c r="T2" s="12"/>
      <x:c r="U2" s="12"/>
      <x:c r="V2" s="12"/>
    </x:row>
    <x:row r="3" ht="42" customHeight="1">
      <x:c r="A3" s="20" t="str">
        <x:v>地域</x:v>
      </x:c>
      <x:c r="B3" s="20" t="str">
        <x:v>国・地域</x:v>
      </x:c>
      <x:c r="C3" s="20" t="str">
        <x:v>企業名</x:v>
      </x:c>
      <x:c r="D3" s="20" t="str">
        <x:v>親会社・ブランド状況</x:v>
      </x:c>
      <x:c r="E3" s="20" t="str">
        <x:v>カンパニーURL</x:v>
      </x:c>
      <x:c r="F3" s="20" t="str">
        <x:v>公式製品URL</x:v>
      </x:c>
      <x:c r="G3" s="20" t="str">
        <x:v>企業タイプ</x:v>
      </x:c>
      <x:c r="H3" s="20" t="str">
        <x:v>車載対応</x:v>
      </x:c>
      <x:c r="I3" s="20" t="str">
        <x:v>DC-DC / PMIC</x:v>
      </x:c>
      <x:c r="J3" s="20" t="str">
        <x:v>LDO</x:v>
      </x:c>
      <x:c r="K3" s="20" t="str">
        <x:v>LEDドライバー</x:v>
      </x:c>
      <x:c r="L3" s="20" t="str">
        <x:v>AC-DC</x:v>
      </x:c>
      <x:c r="M3" s="20" t="str">
        <x:v>ゲートドライバー</x:v>
      </x:c>
      <x:c r="N3" s="20" t="str">
        <x:v>ロードスイッチ / eFuse</x:v>
      </x:c>
      <x:c r="O3" s="20" t="str">
        <x:v>アイデアルダイオード / ORing</x:v>
      </x:c>
      <x:c r="P3" s="20" t="str">
        <x:v>GaNパワーIC / デバイス</x:v>
      </x:c>
      <x:c r="Q3" s="20" t="str">
        <x:v>パワーディスクリート / モジュール</x:v>
      </x:c>
      <x:c r="R3" s="20" t="str">
        <x:v>製品群幅スコア</x:v>
      </x:c>
      <x:c r="S3" s="20" t="str">
        <x:v>主な製品群概要</x:v>
      </x:c>
      <x:c r="T3" s="20" t="str">
        <x:v>市場での位置づけ</x:v>
      </x:c>
      <x:c r="U3" s="20" t="str">
        <x:v>確認ソースURL</x:v>
      </x:c>
      <x:c r="V3" s="20" t="str">
        <x:v>確認日</x:v>
      </x:c>
    </x:row>
    <x:row r="4" ht="58" customHeight="1">
      <x:c r="A4" s="32" t="str">
        <x:v>日本</x:v>
      </x:c>
      <x:c r="B4" s="32" t="str">
        <x:v>日本</x:v>
      </x:c>
      <x:c r="C4" s="32" t="str">
        <x:v>Renesas Electronics</x:v>
      </x:c>
      <x:c r="D4" s="32" t="str">
        <x:v>Intersil、Dialog、Transphorm等を統合</x:v>
      </x:c>
      <x:c r="E4" s="32" t="str">
        <x:v>https://www.renesas.com/</x:v>
      </x:c>
      <x:c r="F4" s="32" t="str">
        <x:v>https://www.renesas.com/en/products/power-power-management</x:v>
      </x:c>
      <x:c r="G4" s="32" t="str">
        <x:v>総合MCU／アナログ／電源</x:v>
      </x:c>
      <x:c r="H4" s="40" t="str">
        <x:v>●</x:v>
      </x:c>
      <x:c r="I4" s="40" t="str">
        <x:v>●</x:v>
      </x:c>
      <x:c r="J4" s="40" t="str">
        <x:v>●</x:v>
      </x:c>
      <x:c r="K4" s="40" t="str">
        <x:v>●</x:v>
      </x:c>
      <x:c r="L4" s="40" t="str">
        <x:v>●</x:v>
      </x:c>
      <x:c r="M4" s="40" t="str">
        <x:v>●</x:v>
      </x:c>
      <x:c r="N4" s="40" t="str">
        <x:v>●</x:v>
      </x:c>
      <x:c r="O4" s="40" t="str">
        <x:v>●</x:v>
      </x:c>
      <x:c r="P4" s="40" t="str">
        <x:v>●</x:v>
      </x:c>
      <x:c r="Q4" s="40" t="str">
        <x:v>●</x:v>
      </x:c>
      <x:c r="R4" s="42" t="n">
        <x:f>COUNTIF(I4:Q4,"●")+0.5*COUNTIF(I4:Q4,"△")</x:f>
        <x:v>9</x:v>
      </x:c>
      <x:c r="S4" s="32" t="str">
        <x:v>DC-DC、PMIC、LDO、LED、AC-DC/PFC、ゲートドライバー、eFuse、ロードスイッチ、理想ダイオード、GaN、MOSFET。</x:v>
      </x:c>
      <x:c r="T4" s="32" t="str">
        <x:v>MCU/SoCとのWinning Combinationが強み。車載、産業、データセンター、民生を広くカバー。</x:v>
      </x:c>
      <x:c r="U4" s="32" t="str">
        <x:v>https://www.renesas.com/en/products/power-power-management</x:v>
      </x:c>
      <x:c r="V4" s="40" t="str">
        <x:v>2026-07-16</x:v>
      </x:c>
    </x:row>
    <x:row r="5" ht="58" customHeight="1">
      <x:c r="A5" s="32" t="str">
        <x:v>日本</x:v>
      </x:c>
      <x:c r="B5" s="32" t="str">
        <x:v>日本</x:v>
      </x:c>
      <x:c r="C5" s="32" t="str">
        <x:v>ROHM Semiconductor</x:v>
      </x:c>
      <x:c r="D5" s="32" t="str">
        <x:v>LAPIS Semiconductorを統合</x:v>
      </x:c>
      <x:c r="E5" s="32" t="str">
        <x:v>https://www.rohm.com/</x:v>
      </x:c>
      <x:c r="F5" s="32" t="str">
        <x:v>https://www.rohm.com/products/power-management</x:v>
      </x:c>
      <x:c r="G5" s="32" t="str">
        <x:v>総合アナログ／パワー</x:v>
      </x:c>
      <x:c r="H5" s="40" t="str">
        <x:v>●</x:v>
      </x:c>
      <x:c r="I5" s="40" t="str">
        <x:v>●</x:v>
      </x:c>
      <x:c r="J5" s="40" t="str">
        <x:v>●</x:v>
      </x:c>
      <x:c r="K5" s="40" t="str">
        <x:v>●</x:v>
      </x:c>
      <x:c r="L5" s="40" t="str">
        <x:v>●</x:v>
      </x:c>
      <x:c r="M5" s="40" t="str">
        <x:v>●</x:v>
      </x:c>
      <x:c r="N5" s="40" t="str">
        <x:v>●</x:v>
      </x:c>
      <x:c r="O5" s="40" t="str">
        <x:v>△</x:v>
      </x:c>
      <x:c r="P5" s="40" t="str">
        <x:v>●</x:v>
      </x:c>
      <x:c r="Q5" s="40" t="str">
        <x:v>●</x:v>
      </x:c>
      <x:c r="R5" s="42" t="n">
        <x:f>COUNTIF(I5:Q5,"●")+0.5*COUNTIF(I5:Q5,"△")</x:f>
        <x:v>8.5</x:v>
      </x:c>
      <x:c r="S5" s="32" t="str">
        <x:v>DC-DC、LDO、LED、AC-DC、ゲートドライバー、BHxx電源IC、Nano Pulse/Nano Energy、GaN、SiC、MOSFET、IPM。</x:v>
      </x:c>
      <x:c r="T5" s="32" t="str">
        <x:v>電源ICとSiC/GaNパワーデバイスの協調設計が強い。車載・産業・家電で日本系顧客基盤を持つ。</x:v>
      </x:c>
      <x:c r="U5" s="32" t="str">
        <x:v>https://www.rohm.com/products/power-management</x:v>
      </x:c>
      <x:c r="V5" s="40" t="str">
        <x:v>2026-07-16</x:v>
      </x:c>
    </x:row>
    <x:row r="6" ht="58" customHeight="1">
      <x:c r="A6" s="32" t="str">
        <x:v>日本</x:v>
      </x:c>
      <x:c r="B6" s="32" t="str">
        <x:v>日本</x:v>
      </x:c>
      <x:c r="C6" s="32" t="str">
        <x:v>Toshiba Electronic Devices &amp; Storage</x:v>
      </x:c>
      <x:c r="D6" s="32" t="str">
        <x:v>東芝グループ</x:v>
      </x:c>
      <x:c r="E6" s="32" t="str">
        <x:v>https://toshiba.semicon-storage.com/</x:v>
      </x:c>
      <x:c r="F6" s="32" t="str">
        <x:v>https://toshiba.semicon-storage.com/ap-en/semiconductor/product/power-management-ics.html</x:v>
      </x:c>
      <x:c r="G6" s="32" t="str">
        <x:v>総合パワー／アナログ</x:v>
      </x:c>
      <x:c r="H6" s="40" t="str">
        <x:v>●</x:v>
      </x:c>
      <x:c r="I6" s="40" t="str">
        <x:v>●</x:v>
      </x:c>
      <x:c r="J6" s="40" t="str">
        <x:v>●</x:v>
      </x:c>
      <x:c r="K6" s="40" t="str">
        <x:v>△</x:v>
      </x:c>
      <x:c r="L6" s="40" t="str">
        <x:v>△</x:v>
      </x:c>
      <x:c r="M6" s="40" t="str">
        <x:v>●</x:v>
      </x:c>
      <x:c r="N6" s="40" t="str">
        <x:v>●</x:v>
      </x:c>
      <x:c r="O6" s="40" t="str">
        <x:v>△</x:v>
      </x:c>
      <x:c r="P6" s="40" t="str">
        <x:v>●</x:v>
      </x:c>
      <x:c r="Q6" s="40" t="str">
        <x:v>●</x:v>
      </x:c>
      <x:c r="R6" s="42" t="n">
        <x:f>COUNTIF(I6:Q6,"●")+0.5*COUNTIF(I6:Q6,"△")</x:f>
        <x:v>7.5</x:v>
      </x:c>
      <x:c r="S6" s="32" t="str">
        <x:v>DC-DC、LDO、ロードスイッチ、eFuse、ゲートドライバー、モータードライバー、GaN/SiC、MOSFET、IPD。</x:v>
      </x:c>
      <x:c r="T6" s="32" t="str">
        <x:v>パワーディスクリートとアナログ制御を持つ老舗。車載、産業、家電の高信頼・高耐圧市場に強い。</x:v>
      </x:c>
      <x:c r="U6" s="32" t="str">
        <x:v>https://toshiba.semicon-storage.com/ap-en/semiconductor/product/power-management-ics.html</x:v>
      </x:c>
      <x:c r="V6" s="40" t="str">
        <x:v>2026-07-16</x:v>
      </x:c>
    </x:row>
    <x:row r="7" ht="58" customHeight="1">
      <x:c r="A7" s="32" t="str">
        <x:v>日本</x:v>
      </x:c>
      <x:c r="B7" s="32" t="str">
        <x:v>日本</x:v>
      </x:c>
      <x:c r="C7" s="32" t="str">
        <x:v>Sanken Electric</x:v>
      </x:c>
      <x:c r="D7" s="32" t="str">
        <x:v>独立企業</x:v>
      </x:c>
      <x:c r="E7" s="32" t="str">
        <x:v>https://www.sanken-ele.co.jp/</x:v>
      </x:c>
      <x:c r="F7" s="32" t="str">
        <x:v>https://www.sanken-ele.co.jp/en/prod/semicon/</x:v>
      </x:c>
      <x:c r="G7" s="32" t="str">
        <x:v>電源IC／パワーデバイス専業</x:v>
      </x:c>
      <x:c r="H7" s="40" t="str">
        <x:v>●</x:v>
      </x:c>
      <x:c r="I7" s="40" t="str">
        <x:v>●</x:v>
      </x:c>
      <x:c r="J7" s="40" t="str">
        <x:v>●</x:v>
      </x:c>
      <x:c r="K7" s="40" t="str">
        <x:v>●</x:v>
      </x:c>
      <x:c r="L7" s="40" t="str">
        <x:v>●</x:v>
      </x:c>
      <x:c r="M7" s="40" t="str">
        <x:v>●</x:v>
      </x:c>
      <x:c r="N7" s="40" t="str">
        <x:v>△</x:v>
      </x:c>
      <x:c r="O7" s="40" t="str">
        <x:v>—</x:v>
      </x:c>
      <x:c r="P7" s="40" t="str">
        <x:v>—</x:v>
      </x:c>
      <x:c r="Q7" s="40" t="str">
        <x:v>●</x:v>
      </x:c>
      <x:c r="R7" s="42" t="n">
        <x:f>COUNTIF(I7:Q7,"●")+0.5*COUNTIF(I7:Q7,"△")</x:f>
        <x:v>6.5</x:v>
      </x:c>
      <x:c r="S7" s="32" t="str">
        <x:v>AC-DC、PFC、DC-DC、LDO、LED、モーター、ゲートドライバー、パワーモジュール、IGBT、ダイオード。</x:v>
      </x:c>
      <x:c r="T7" s="32" t="str">
        <x:v>家電・産業電源、モーター、車載電装で強い。高耐圧ICとパワーデバイスの組合せが特徴。</x:v>
      </x:c>
      <x:c r="U7" s="32" t="str">
        <x:v>https://www.sanken-ele.co.jp/en/prod/semicon/</x:v>
      </x:c>
      <x:c r="V7" s="40" t="str">
        <x:v>2026-07-16</x:v>
      </x:c>
    </x:row>
    <x:row r="8" ht="58" customHeight="1">
      <x:c r="A8" s="32" t="str">
        <x:v>日本</x:v>
      </x:c>
      <x:c r="B8" s="32" t="str">
        <x:v>日本</x:v>
      </x:c>
      <x:c r="C8" s="32" t="str">
        <x:v>Torex Semiconductor</x:v>
      </x:c>
      <x:c r="D8" s="32" t="str">
        <x:v>独立企業</x:v>
      </x:c>
      <x:c r="E8" s="32" t="str">
        <x:v>https://www.torexsemi.com/</x:v>
      </x:c>
      <x:c r="F8" s="32" t="str">
        <x:v>https://www.torexsemi.com/products/</x:v>
      </x:c>
      <x:c r="G8" s="32" t="str">
        <x:v>小型低消費電力電源IC専業</x:v>
      </x:c>
      <x:c r="H8" s="40" t="str">
        <x:v>△</x:v>
      </x:c>
      <x:c r="I8" s="40" t="str">
        <x:v>●</x:v>
      </x:c>
      <x:c r="J8" s="40" t="str">
        <x:v>●</x:v>
      </x:c>
      <x:c r="K8" s="40" t="str">
        <x:v>△</x:v>
      </x:c>
      <x:c r="L8" s="40" t="str">
        <x:v>—</x:v>
      </x:c>
      <x:c r="M8" s="40" t="str">
        <x:v>—</x:v>
      </x:c>
      <x:c r="N8" s="40" t="str">
        <x:v>●</x:v>
      </x:c>
      <x:c r="O8" s="40" t="str">
        <x:v>●</x:v>
      </x:c>
      <x:c r="P8" s="40" t="str">
        <x:v>—</x:v>
      </x:c>
      <x:c r="Q8" s="40" t="str">
        <x:v>—</x:v>
      </x:c>
      <x:c r="R8" s="42" t="n">
        <x:f>COUNTIF(I8:Q8,"●")+0.5*COUNTIF(I8:Q8,"△")</x:f>
        <x:v>4.5</x:v>
      </x:c>
      <x:c r="S8" s="32" t="str">
        <x:v>小型DC-DC、LDO、チャージポンプ、ロードスイッチ、電圧監視、理想ダイオード／パワーパス、車載対応品。</x:v>
      </x:c>
      <x:c r="T8" s="32" t="str">
        <x:v>低消費電流、小型パッケージ、バッテリー機器に強い。IoT、ウェアラブル、産業・車載補機向け。</x:v>
      </x:c>
      <x:c r="U8" s="32" t="str">
        <x:v>https://www.torexsemi.com/products/</x:v>
      </x:c>
      <x:c r="V8" s="40" t="str">
        <x:v>2026-07-16</x:v>
      </x:c>
    </x:row>
    <x:row r="9" ht="58" customHeight="1">
      <x:c r="A9" s="32" t="str">
        <x:v>日本</x:v>
      </x:c>
      <x:c r="B9" s="32" t="str">
        <x:v>日本</x:v>
      </x:c>
      <x:c r="C9" s="32" t="str">
        <x:v>Nisshinbo Micro Devices</x:v>
      </x:c>
      <x:c r="D9" s="32" t="str">
        <x:v>新日本無線＋リコー電子デバイス</x:v>
      </x:c>
      <x:c r="E9" s="32" t="str">
        <x:v>https://www.nisshinbo-microdevices.co.jp/</x:v>
      </x:c>
      <x:c r="F9" s="32" t="str">
        <x:v>https://www.nisshinbo-microdevices.co.jp/en/products/</x:v>
      </x:c>
      <x:c r="G9" s="32" t="str">
        <x:v>高性能アナログ／電源</x:v>
      </x:c>
      <x:c r="H9" s="40" t="str">
        <x:v>●</x:v>
      </x:c>
      <x:c r="I9" s="40" t="str">
        <x:v>●</x:v>
      </x:c>
      <x:c r="J9" s="40" t="str">
        <x:v>●</x:v>
      </x:c>
      <x:c r="K9" s="40" t="str">
        <x:v>△</x:v>
      </x:c>
      <x:c r="L9" s="40" t="str">
        <x:v>—</x:v>
      </x:c>
      <x:c r="M9" s="40" t="str">
        <x:v>△</x:v>
      </x:c>
      <x:c r="N9" s="40" t="str">
        <x:v>●</x:v>
      </x:c>
      <x:c r="O9" s="40" t="str">
        <x:v>△</x:v>
      </x:c>
      <x:c r="P9" s="40" t="str">
        <x:v>—</x:v>
      </x:c>
      <x:c r="Q9" s="40" t="str">
        <x:v>—</x:v>
      </x:c>
      <x:c r="R9" s="42" t="n">
        <x:f>COUNTIF(I9:Q9,"●")+0.5*COUNTIF(I9:Q9,"△")</x:f>
        <x:v>4.5</x:v>
      </x:c>
      <x:c r="S9" s="32" t="str">
        <x:v>低ノイズLDO、DC-DC、ロードスイッチ、電源監視、オペアンプ、車載アナログ、バッテリー管理。</x:v>
      </x:c>
      <x:c r="T9" s="32" t="str">
        <x:v>低ノイズ・高精度アナログと車載品質が強み。オーディオ、センサー、産業、車載電源で競合。</x:v>
      </x:c>
      <x:c r="U9" s="32" t="str">
        <x:v>https://www.nisshinbo-microdevices.co.jp/en/products/</x:v>
      </x:c>
      <x:c r="V9" s="40" t="str">
        <x:v>2026-07-16</x:v>
      </x:c>
    </x:row>
    <x:row r="10" ht="58" customHeight="1">
      <x:c r="A10" s="32" t="str">
        <x:v>日本</x:v>
      </x:c>
      <x:c r="B10" s="32" t="str">
        <x:v>日本</x:v>
      </x:c>
      <x:c r="C10" s="32" t="str">
        <x:v>ABLIC</x:v>
      </x:c>
      <x:c r="D10" s="32" t="str">
        <x:v>MinebeaMitsumiグループの独立ブランド</x:v>
      </x:c>
      <x:c r="E10" s="32" t="str">
        <x:v>https://www.ablic.com/</x:v>
      </x:c>
      <x:c r="F10" s="32" t="str">
        <x:v>https://www.ablic.com/en/semicon/products/</x:v>
      </x:c>
      <x:c r="G10" s="32" t="str">
        <x:v>低消費電力アナログIC専業</x:v>
      </x:c>
      <x:c r="H10" s="40" t="str">
        <x:v>●</x:v>
      </x:c>
      <x:c r="I10" s="40" t="str">
        <x:v>●</x:v>
      </x:c>
      <x:c r="J10" s="40" t="str">
        <x:v>●</x:v>
      </x:c>
      <x:c r="K10" s="40" t="str">
        <x:v>—</x:v>
      </x:c>
      <x:c r="L10" s="40" t="str">
        <x:v>—</x:v>
      </x:c>
      <x:c r="M10" s="40" t="str">
        <x:v>—</x:v>
      </x:c>
      <x:c r="N10" s="40" t="str">
        <x:v>●</x:v>
      </x:c>
      <x:c r="O10" s="40" t="str">
        <x:v>△</x:v>
      </x:c>
      <x:c r="P10" s="40" t="str">
        <x:v>—</x:v>
      </x:c>
      <x:c r="Q10" s="40" t="str">
        <x:v>—</x:v>
      </x:c>
      <x:c r="R10" s="42" t="n">
        <x:f>COUNTIF(I10:Q10,"●")+0.5*COUNTIF(I10:Q10,"△")</x:f>
        <x:v>3.5</x:v>
      </x:c>
      <x:c r="S10" s="32" t="str">
        <x:v>LDO、DC-DC、電圧検出、バッテリー保護、ロードスイッチ、車載用電源・センサーIC。</x:v>
      </x:c>
      <x:c r="T10" s="32" t="str">
        <x:v>超低消費電流、バッテリー保護、長期信頼性に強い。ウェアラブル、IoT、車載サブシステム向け。</x:v>
      </x:c>
      <x:c r="U10" s="32" t="str">
        <x:v>https://www.ablic.com/en/semicon/products/</x:v>
      </x:c>
      <x:c r="V10" s="40" t="str">
        <x:v>2026-07-16</x:v>
      </x:c>
    </x:row>
    <x:row r="11" ht="58" customHeight="1">
      <x:c r="A11" s="32" t="str">
        <x:v>日本</x:v>
      </x:c>
      <x:c r="B11" s="32" t="str">
        <x:v>日本</x:v>
      </x:c>
      <x:c r="C11" s="32" t="str">
        <x:v>MinebeaMitsumi / MITSUMI</x:v>
      </x:c>
      <x:c r="D11" s="32" t="str">
        <x:v>ABLICを傘下に保有</x:v>
      </x:c>
      <x:c r="E11" s="32" t="str">
        <x:v>https://www.minebeamitsumi.com/</x:v>
      </x:c>
      <x:c r="F11" s="32" t="str">
        <x:v>https://product.minebeamitsumi.com/en/product/category/ics/</x:v>
      </x:c>
      <x:c r="G11" s="32" t="str">
        <x:v>部品総合＋アナログIC</x:v>
      </x:c>
      <x:c r="H11" s="40" t="str">
        <x:v>●</x:v>
      </x:c>
      <x:c r="I11" s="40" t="str">
        <x:v>●</x:v>
      </x:c>
      <x:c r="J11" s="40" t="str">
        <x:v>●</x:v>
      </x:c>
      <x:c r="K11" s="40" t="str">
        <x:v>△</x:v>
      </x:c>
      <x:c r="L11" s="40" t="str">
        <x:v>—</x:v>
      </x:c>
      <x:c r="M11" s="40" t="str">
        <x:v>△</x:v>
      </x:c>
      <x:c r="N11" s="40" t="str">
        <x:v>●</x:v>
      </x:c>
      <x:c r="O11" s="40" t="str">
        <x:v>△</x:v>
      </x:c>
      <x:c r="P11" s="40" t="str">
        <x:v>—</x:v>
      </x:c>
      <x:c r="Q11" s="40" t="str">
        <x:v>△</x:v>
      </x:c>
      <x:c r="R11" s="42" t="n">
        <x:f>COUNTIF(I11:Q11,"●")+0.5*COUNTIF(I11:Q11,"△")</x:f>
        <x:v>5</x:v>
      </x:c>
      <x:c r="S11" s="32" t="str">
        <x:v>DC-DC、LDO、リセット、ロードスイッチ、バッテリー管理、モーター／LEDドライバー、センサー、電源モジュール。</x:v>
      </x:c>
      <x:c r="T11" s="32" t="str">
        <x:v>精密部品、モーター、センサー、アナログICを横断。車載・民生のモジュール提案に強い。</x:v>
      </x:c>
      <x:c r="U11" s="32" t="str">
        <x:v>https://product.minebeamitsumi.com/en/product/category/ics/</x:v>
      </x:c>
      <x:c r="V11" s="40" t="str">
        <x:v>2026-07-16</x:v>
      </x:c>
    </x:row>
    <x:row r="12" ht="58" customHeight="1">
      <x:c r="A12" s="32" t="str">
        <x:v>日本</x:v>
      </x:c>
      <x:c r="B12" s="32" t="str">
        <x:v>日本</x:v>
      </x:c>
      <x:c r="C12" s="32" t="str">
        <x:v>Shindengen Electric Manufacturing</x:v>
      </x:c>
      <x:c r="D12" s="32" t="str">
        <x:v>独立企業</x:v>
      </x:c>
      <x:c r="E12" s="32" t="str">
        <x:v>https://www.shindengen.com/</x:v>
      </x:c>
      <x:c r="F12" s="32" t="str">
        <x:v>https://www.shindengen.com/products/semi/</x:v>
      </x:c>
      <x:c r="G12" s="32" t="str">
        <x:v>整流器／電源IC／モジュール</x:v>
      </x:c>
      <x:c r="H12" s="40" t="str">
        <x:v>●</x:v>
      </x:c>
      <x:c r="I12" s="40" t="str">
        <x:v>●</x:v>
      </x:c>
      <x:c r="J12" s="40" t="str">
        <x:v>△</x:v>
      </x:c>
      <x:c r="K12" s="40" t="str">
        <x:v>●</x:v>
      </x:c>
      <x:c r="L12" s="40" t="str">
        <x:v>●</x:v>
      </x:c>
      <x:c r="M12" s="40" t="str">
        <x:v>△</x:v>
      </x:c>
      <x:c r="N12" s="40" t="str">
        <x:v>△</x:v>
      </x:c>
      <x:c r="O12" s="40" t="str">
        <x:v>—</x:v>
      </x:c>
      <x:c r="P12" s="40" t="str">
        <x:v>△</x:v>
      </x:c>
      <x:c r="Q12" s="40" t="str">
        <x:v>●</x:v>
      </x:c>
      <x:c r="R12" s="42" t="n">
        <x:f>COUNTIF(I12:Q12,"●")+0.5*COUNTIF(I12:Q12,"△")</x:f>
        <x:v>6</x:v>
      </x:c>
      <x:c r="S12" s="32" t="str">
        <x:v>整流ダイオード、MOSFET、サイリスタ、AC-DC/PFC、DC-DC、LED、車載レギュレーター、パワーモジュール。</x:v>
      </x:c>
      <x:c r="T12" s="32" t="str">
        <x:v>二輪・車載電装、産業電源、整流・電源モジュールに強い。デバイスから電源ユニットまで展開。</x:v>
      </x:c>
      <x:c r="U12" s="32" t="str">
        <x:v>https://www.shindengen.com/products/semi/</x:v>
      </x:c>
      <x:c r="V12" s="40" t="str">
        <x:v>2026-07-16</x:v>
      </x:c>
    </x:row>
    <x:row r="13" ht="58" customHeight="1">
      <x:c r="A13" s="32" t="str">
        <x:v>日本</x:v>
      </x:c>
      <x:c r="B13" s="32" t="str">
        <x:v>日本</x:v>
      </x:c>
      <x:c r="C13" s="32" t="str">
        <x:v>Fuji Electric</x:v>
      </x:c>
      <x:c r="D13" s="32" t="str">
        <x:v>独立企業</x:v>
      </x:c>
      <x:c r="E13" s="32" t="str">
        <x:v>https://www.fujielectric.com/</x:v>
      </x:c>
      <x:c r="F13" s="32" t="str">
        <x:v>https://www.fujielectric.com/products/semiconductor/</x:v>
      </x:c>
      <x:c r="G13" s="32" t="str">
        <x:v>産業パワー半導体／モジュール</x:v>
      </x:c>
      <x:c r="H13" s="40" t="str">
        <x:v>●</x:v>
      </x:c>
      <x:c r="I13" s="40" t="str">
        <x:v>△</x:v>
      </x:c>
      <x:c r="J13" s="40" t="str">
        <x:v>—</x:v>
      </x:c>
      <x:c r="K13" s="40" t="str">
        <x:v>—</x:v>
      </x:c>
      <x:c r="L13" s="40" t="str">
        <x:v>●</x:v>
      </x:c>
      <x:c r="M13" s="40" t="str">
        <x:v>●</x:v>
      </x:c>
      <x:c r="N13" s="40" t="str">
        <x:v>●</x:v>
      </x:c>
      <x:c r="O13" s="40" t="str">
        <x:v>—</x:v>
      </x:c>
      <x:c r="P13" s="40" t="str">
        <x:v>△</x:v>
      </x:c>
      <x:c r="Q13" s="40" t="str">
        <x:v>●</x:v>
      </x:c>
      <x:c r="R13" s="42" t="n">
        <x:f>COUNTIF(I13:Q13,"●")+0.5*COUNTIF(I13:Q13,"△")</x:f>
        <x:v>5</x:v>
      </x:c>
      <x:c r="S13" s="32" t="str">
        <x:v>IGBT/SiCモジュール、IPS、ゲートドライバーIC、電源制御IC、整流器、産業・車載パワーモジュール。</x:v>
      </x:c>
      <x:c r="T13" s="32" t="str">
        <x:v>大電力・高信頼モジュールが中核。車載インバーター、産業ドライブ、再エネ、電源装置で強い。</x:v>
      </x:c>
      <x:c r="U13" s="32" t="str">
        <x:v>https://www.fujielectric.com/products/semiconductor/</x:v>
      </x:c>
      <x:c r="V13" s="40" t="str">
        <x:v>2026-07-16</x:v>
      </x:c>
    </x:row>
    <x:row r="14" ht="58" customHeight="1">
      <x:c r="A14" s="32" t="str">
        <x:v>日本</x:v>
      </x:c>
      <x:c r="B14" s="32" t="str">
        <x:v>日本</x:v>
      </x:c>
      <x:c r="C14" s="32" t="str">
        <x:v>Mitsubishi Electric Semiconductor</x:v>
      </x:c>
      <x:c r="D14" s="32" t="str">
        <x:v>三菱電機グループ</x:v>
      </x:c>
      <x:c r="E14" s="32" t="str">
        <x:v>https://www.mitsubishielectric.com/semiconductors/</x:v>
      </x:c>
      <x:c r="F14" s="32" t="str">
        <x:v>https://www.mitsubishielectric.com/semiconductors/products/power/</x:v>
      </x:c>
      <x:c r="G14" s="32" t="str">
        <x:v>パワーモジュール大手</x:v>
      </x:c>
      <x:c r="H14" s="40" t="str">
        <x:v>●</x:v>
      </x:c>
      <x:c r="I14" s="40" t="str">
        <x:v>—</x:v>
      </x:c>
      <x:c r="J14" s="40" t="str">
        <x:v>—</x:v>
      </x:c>
      <x:c r="K14" s="40" t="str">
        <x:v>—</x:v>
      </x:c>
      <x:c r="L14" s="40" t="str">
        <x:v>—</x:v>
      </x:c>
      <x:c r="M14" s="40" t="str">
        <x:v>●</x:v>
      </x:c>
      <x:c r="N14" s="40" t="str">
        <x:v>—</x:v>
      </x:c>
      <x:c r="O14" s="40" t="str">
        <x:v>—</x:v>
      </x:c>
      <x:c r="P14" s="40" t="str">
        <x:v>△</x:v>
      </x:c>
      <x:c r="Q14" s="40" t="str">
        <x:v>●</x:v>
      </x:c>
      <x:c r="R14" s="42" t="n">
        <x:f>COUNTIF(I14:Q14,"●")+0.5*COUNTIF(I14:Q14,"△")</x:f>
        <x:v>2.5</x:v>
      </x:c>
      <x:c r="S14" s="32" t="str">
        <x:v>IGBT、SiC、IPM、HVIC、ゲートドライバー、車載・鉄道・産業用パワーモジュール。</x:v>
      </x:c>
      <x:c r="T14" s="32" t="str">
        <x:v>高電力モジュールとインバーター用途に特化。鉄道、空調、産業、EVで高い信頼性と実績。</x:v>
      </x:c>
      <x:c r="U14" s="32" t="str">
        <x:v>https://www.mitsubishielectric.com/semiconductors/products/power/</x:v>
      </x:c>
      <x:c r="V14" s="40" t="str">
        <x:v>2026-07-16</x:v>
      </x:c>
    </x:row>
    <x:row r="15" ht="58" customHeight="1">
      <x:c r="A15" s="32" t="str">
        <x:v>日本</x:v>
      </x:c>
      <x:c r="B15" s="32" t="str">
        <x:v>日本</x:v>
      </x:c>
      <x:c r="C15" s="32" t="str">
        <x:v>Panasonic Industry</x:v>
      </x:c>
      <x:c r="D15" s="32" t="str">
        <x:v>パナソニックグループ</x:v>
      </x:c>
      <x:c r="E15" s="32" t="str">
        <x:v>https://industrial.panasonic.com/</x:v>
      </x:c>
      <x:c r="F15" s="32" t="str">
        <x:v>https://industrial.panasonic.com/ww/products/pt/semiconductor</x:v>
      </x:c>
      <x:c r="G15" s="32" t="str">
        <x:v>総合電子部品／アナログ</x:v>
      </x:c>
      <x:c r="H15" s="40" t="str">
        <x:v>●</x:v>
      </x:c>
      <x:c r="I15" s="40" t="str">
        <x:v>△</x:v>
      </x:c>
      <x:c r="J15" s="40" t="str">
        <x:v>△</x:v>
      </x:c>
      <x:c r="K15" s="40" t="str">
        <x:v>△</x:v>
      </x:c>
      <x:c r="L15" s="40" t="str">
        <x:v>△</x:v>
      </x:c>
      <x:c r="M15" s="40" t="str">
        <x:v>●</x:v>
      </x:c>
      <x:c r="N15" s="40" t="str">
        <x:v>△</x:v>
      </x:c>
      <x:c r="O15" s="40" t="str">
        <x:v>—</x:v>
      </x:c>
      <x:c r="P15" s="40" t="str">
        <x:v>—</x:v>
      </x:c>
      <x:c r="Q15" s="40" t="str">
        <x:v>△</x:v>
      </x:c>
      <x:c r="R15" s="42" t="n">
        <x:f>COUNTIF(I15:Q15,"●")+0.5*COUNTIF(I15:Q15,"△")</x:f>
        <x:v>4</x:v>
      </x:c>
      <x:c r="S15" s="32" t="str">
        <x:v>ゲートドライバー、LED/照明制御、電源管理、センサー、フォトカプラ、GaN関連部品・パワーモジュール。</x:v>
      </x:c>
      <x:c r="T15" s="32" t="str">
        <x:v>部品・材料・リレー・センサーとの組合せ提案が強み。車載・産業顧客への総合部品供給力を持つ。</x:v>
      </x:c>
      <x:c r="U15" s="32" t="str">
        <x:v>https://industrial.panasonic.com/ww/products/pt/semiconductor</x:v>
      </x:c>
      <x:c r="V15" s="40" t="str">
        <x:v>2026-07-16</x:v>
      </x:c>
    </x:row>
  </x:sheetData>
  <x:mergeCells>
    <x:mergeCell ref="A1:V1"/>
    <x:mergeCell ref="A2:V2"/>
  </x:mergeCells>
  <x:conditionalFormatting sqref="H4:Q15">
    <x:cfRule type="expression" dxfId="6" priority="1">
      <x:formula>H4="●"</x:formula>
    </x:cfRule>
    <x:cfRule type="expression" dxfId="7" priority="2">
      <x:formula>H4="△"</x:formula>
    </x:cfRule>
    <x:cfRule type="expression" dxfId="8" priority="3">
      <x:formula>H4="—"</x:formula>
    </x:cfRule>
  </x:conditionalFormatting>
  <x:pageMargins left="0.7" right="0.7" top="0.75" bottom="0.75" header="0.3" footer="0.3"/>
  <x:tableParts count="1">
    <x:tablePart xmlns:r="http://schemas.openxmlformats.org/officeDocument/2006/relationships" r:id="R7e2091c340924cda"/>
  </x:tableParts>
</x:worksheet>
</file>

<file path=xl/worksheets/sheet5.xml><?xml version="1.0" encoding="utf-8"?>
<x:worksheet xmlns:x="http://schemas.openxmlformats.org/spreadsheetml/2006/main">
  <x:sheetFormatPr defaultRowHeight="15"/>
  <x:cols>
    <x:col min="1" max="1" width="8" hidden="0" customWidth="1"/>
    <x:col min="2" max="2" width="12" hidden="0" customWidth="1"/>
    <x:col min="3" max="3" width="27" hidden="0" customWidth="1"/>
    <x:col min="4" max="4" width="25" hidden="0" customWidth="1"/>
    <x:col min="5" max="5" width="31" hidden="0" customWidth="1"/>
    <x:col min="6" max="6" width="31" hidden="0" customWidth="1"/>
    <x:col min="7" max="7" width="24"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2" hidden="0" customWidth="1"/>
    <x:col min="19" max="19" width="38" hidden="0" customWidth="1"/>
    <x:col min="20" max="20" width="38" hidden="0" customWidth="1"/>
    <x:col min="21" max="21" width="34" hidden="0" customWidth="1"/>
    <x:col min="22" max="22" width="12" hidden="0" customWidth="1"/>
  </x:cols>
  <x:sheetData>
    <x:row r="1" ht="28" customHeight="1">
      <x:c r="A1" s="5" t="str">
        <x:v>アジア：アナログ／パワー半導体企業一覧</x:v>
      </x:c>
      <x:c r="B1" s="5"/>
      <x:c r="C1" s="5"/>
      <x:c r="D1" s="5"/>
      <x:c r="E1" s="5"/>
      <x:c r="F1" s="5"/>
      <x:c r="G1" s="5"/>
      <x:c r="H1" s="5"/>
      <x:c r="I1" s="5"/>
      <x:c r="J1" s="5"/>
      <x:c r="K1" s="5"/>
      <x:c r="L1" s="5"/>
      <x:c r="M1" s="5"/>
      <x:c r="N1" s="5"/>
      <x:c r="O1" s="5"/>
      <x:c r="P1" s="5"/>
      <x:c r="Q1" s="5"/>
      <x:c r="R1" s="5"/>
      <x:c r="S1" s="5"/>
      <x:c r="T1" s="5"/>
      <x:c r="U1" s="5"/>
      <x:c r="V1" s="5"/>
    </x:row>
    <x:row r="2" ht="26" customHeight="1">
      <x:c r="A2" s="12" t="str">
        <x:v>凡例：●＝主要かつ明確な製品群、△＝限定的・統合品・特定用途中心、—＝公開カタログ上で明確な製品群を確認できず</x:v>
      </x:c>
      <x:c r="B2" s="12"/>
      <x:c r="C2" s="12"/>
      <x:c r="D2" s="12"/>
      <x:c r="E2" s="12"/>
      <x:c r="F2" s="12"/>
      <x:c r="G2" s="12"/>
      <x:c r="H2" s="12"/>
      <x:c r="I2" s="12"/>
      <x:c r="J2" s="12"/>
      <x:c r="K2" s="12"/>
      <x:c r="L2" s="12"/>
      <x:c r="M2" s="12"/>
      <x:c r="N2" s="12"/>
      <x:c r="O2" s="12"/>
      <x:c r="P2" s="12"/>
      <x:c r="Q2" s="12"/>
      <x:c r="R2" s="12"/>
      <x:c r="S2" s="12"/>
      <x:c r="T2" s="12"/>
      <x:c r="U2" s="12"/>
      <x:c r="V2" s="12"/>
    </x:row>
    <x:row r="3" ht="42" customHeight="1">
      <x:c r="A3" s="20" t="str">
        <x:v>地域</x:v>
      </x:c>
      <x:c r="B3" s="20" t="str">
        <x:v>国・地域</x:v>
      </x:c>
      <x:c r="C3" s="20" t="str">
        <x:v>企業名</x:v>
      </x:c>
      <x:c r="D3" s="20" t="str">
        <x:v>親会社・ブランド状況</x:v>
      </x:c>
      <x:c r="E3" s="20" t="str">
        <x:v>カンパニーURL</x:v>
      </x:c>
      <x:c r="F3" s="20" t="str">
        <x:v>公式製品URL</x:v>
      </x:c>
      <x:c r="G3" s="20" t="str">
        <x:v>企業タイプ</x:v>
      </x:c>
      <x:c r="H3" s="20" t="str">
        <x:v>車載対応</x:v>
      </x:c>
      <x:c r="I3" s="20" t="str">
        <x:v>DC-DC / PMIC</x:v>
      </x:c>
      <x:c r="J3" s="20" t="str">
        <x:v>LDO</x:v>
      </x:c>
      <x:c r="K3" s="20" t="str">
        <x:v>LEDドライバー</x:v>
      </x:c>
      <x:c r="L3" s="20" t="str">
        <x:v>AC-DC</x:v>
      </x:c>
      <x:c r="M3" s="20" t="str">
        <x:v>ゲートドライバー</x:v>
      </x:c>
      <x:c r="N3" s="20" t="str">
        <x:v>ロードスイッチ / eFuse</x:v>
      </x:c>
      <x:c r="O3" s="20" t="str">
        <x:v>アイデアルダイオード / ORing</x:v>
      </x:c>
      <x:c r="P3" s="20" t="str">
        <x:v>GaNパワーIC / デバイス</x:v>
      </x:c>
      <x:c r="Q3" s="20" t="str">
        <x:v>パワーディスクリート / モジュール</x:v>
      </x:c>
      <x:c r="R3" s="20" t="str">
        <x:v>製品群幅スコア</x:v>
      </x:c>
      <x:c r="S3" s="20" t="str">
        <x:v>主な製品群概要</x:v>
      </x:c>
      <x:c r="T3" s="20" t="str">
        <x:v>市場での位置づけ</x:v>
      </x:c>
      <x:c r="U3" s="20" t="str">
        <x:v>確認ソースURL</x:v>
      </x:c>
      <x:c r="V3" s="20" t="str">
        <x:v>確認日</x:v>
      </x:c>
    </x:row>
    <x:row r="4" ht="58" customHeight="1">
      <x:c r="A4" s="32" t="str">
        <x:v>アジア</x:v>
      </x:c>
      <x:c r="B4" s="32" t="str">
        <x:v>台湾</x:v>
      </x:c>
      <x:c r="C4" s="32" t="str">
        <x:v>Richtek Technology</x:v>
      </x:c>
      <x:c r="D4" s="32" t="str">
        <x:v>MediaTekグループ</x:v>
      </x:c>
      <x:c r="E4" s="32" t="str">
        <x:v>https://www.richtek.com/</x:v>
      </x:c>
      <x:c r="F4" s="32" t="str">
        <x:v>https://www.richtek.com/Products</x:v>
      </x:c>
      <x:c r="G4" s="32" t="str">
        <x:v>総合電源IC専業</x:v>
      </x:c>
      <x:c r="H4" s="40" t="str">
        <x:v>●</x:v>
      </x:c>
      <x:c r="I4" s="40" t="str">
        <x:v>●</x:v>
      </x:c>
      <x:c r="J4" s="40" t="str">
        <x:v>●</x:v>
      </x:c>
      <x:c r="K4" s="40" t="str">
        <x:v>●</x:v>
      </x:c>
      <x:c r="L4" s="40" t="str">
        <x:v>△</x:v>
      </x:c>
      <x:c r="M4" s="40" t="str">
        <x:v>●</x:v>
      </x:c>
      <x:c r="N4" s="40" t="str">
        <x:v>●</x:v>
      </x:c>
      <x:c r="O4" s="40" t="str">
        <x:v>△</x:v>
      </x:c>
      <x:c r="P4" s="40" t="str">
        <x:v>△</x:v>
      </x:c>
      <x:c r="Q4" s="40" t="str">
        <x:v>—</x:v>
      </x:c>
      <x:c r="R4" s="42" t="n">
        <x:f>COUNTIF(I4:Q4,"●")+0.5*COUNTIF(I4:Q4,"△")</x:f>
        <x:v>6.5</x:v>
      </x:c>
      <x:c r="S4" s="32" t="str">
        <x:v>DC-DC、PMIC、LDO、LED、AC-DC/USB-PD、ゲートドライバー、ロードスイッチ、バッテリー管理、車載電源。</x:v>
      </x:c>
      <x:c r="T4" s="32" t="str">
        <x:v>台湾最大級の電源IC企業。民生・PC・通信から車載へ拡大し、コストと製品幅で競争力が高い。</x:v>
      </x:c>
      <x:c r="U4" s="32" t="str">
        <x:v>https://www.richtek.com/Products</x:v>
      </x:c>
      <x:c r="V4" s="40" t="str">
        <x:v>2026-07-16</x:v>
      </x:c>
    </x:row>
    <x:row r="5" ht="58" customHeight="1">
      <x:c r="A5" s="32" t="str">
        <x:v>アジア</x:v>
      </x:c>
      <x:c r="B5" s="32" t="str">
        <x:v>台湾</x:v>
      </x:c>
      <x:c r="C5" s="32" t="str">
        <x:v>ANPEC Electronics</x:v>
      </x:c>
      <x:c r="D5" s="32" t="str">
        <x:v>独立企業</x:v>
      </x:c>
      <x:c r="E5" s="32" t="str">
        <x:v>https://www.anpec.com.tw/</x:v>
      </x:c>
      <x:c r="F5" s="32" t="str">
        <x:v>https://www.anpec.com.tw/en/product/</x:v>
      </x:c>
      <x:c r="G5" s="32" t="str">
        <x:v>電源IC＋MOSFET</x:v>
      </x:c>
      <x:c r="H5" s="40" t="str">
        <x:v>△</x:v>
      </x:c>
      <x:c r="I5" s="40" t="str">
        <x:v>●</x:v>
      </x:c>
      <x:c r="J5" s="40" t="str">
        <x:v>●</x:v>
      </x:c>
      <x:c r="K5" s="40" t="str">
        <x:v>●</x:v>
      </x:c>
      <x:c r="L5" s="40" t="str">
        <x:v>△</x:v>
      </x:c>
      <x:c r="M5" s="40" t="str">
        <x:v>●</x:v>
      </x:c>
      <x:c r="N5" s="40" t="str">
        <x:v>●</x:v>
      </x:c>
      <x:c r="O5" s="40" t="str">
        <x:v>—</x:v>
      </x:c>
      <x:c r="P5" s="40" t="str">
        <x:v>—</x:v>
      </x:c>
      <x:c r="Q5" s="40" t="str">
        <x:v>●</x:v>
      </x:c>
      <x:c r="R5" s="42" t="n">
        <x:f>COUNTIF(I5:Q5,"●")+0.5*COUNTIF(I5:Q5,"△")</x:f>
        <x:v>6.5</x:v>
      </x:c>
      <x:c r="S5" s="32" t="str">
        <x:v>PWM、DC-DC、LDO、LED、ゲートドライバー、ロードスイッチ、モーター、MOSFET、PC/サーバー電源IC。</x:v>
      </x:c>
      <x:c r="T5" s="32" t="str">
        <x:v>PC、グラフィックス、民生向けのコスト競争力が強い。電源ICとMOSFETの組合せを持つ。</x:v>
      </x:c>
      <x:c r="U5" s="32" t="str">
        <x:v>https://www.anpec.com.tw/en/product/</x:v>
      </x:c>
      <x:c r="V5" s="40" t="str">
        <x:v>2026-07-16</x:v>
      </x:c>
    </x:row>
    <x:row r="6" ht="58" customHeight="1">
      <x:c r="A6" s="32" t="str">
        <x:v>アジア</x:v>
      </x:c>
      <x:c r="B6" s="32" t="str">
        <x:v>台湾</x:v>
      </x:c>
      <x:c r="C6" s="32" t="str">
        <x:v>Global Mixed-mode Technology (GMT)</x:v>
      </x:c>
      <x:c r="D6" s="32" t="str">
        <x:v>独立企業</x:v>
      </x:c>
      <x:c r="E6" s="32" t="str">
        <x:v>https://www.gmt.com.tw/</x:v>
      </x:c>
      <x:c r="F6" s="32" t="str">
        <x:v>https://www.gmt.com.tw/products/</x:v>
      </x:c>
      <x:c r="G6" s="32" t="str">
        <x:v>ミックスドシグナル／電源IC</x:v>
      </x:c>
      <x:c r="H6" s="40" t="str">
        <x:v>△</x:v>
      </x:c>
      <x:c r="I6" s="40" t="str">
        <x:v>●</x:v>
      </x:c>
      <x:c r="J6" s="40" t="str">
        <x:v>●</x:v>
      </x:c>
      <x:c r="K6" s="40" t="str">
        <x:v>●</x:v>
      </x:c>
      <x:c r="L6" s="40" t="str">
        <x:v>—</x:v>
      </x:c>
      <x:c r="M6" s="40" t="str">
        <x:v>△</x:v>
      </x:c>
      <x:c r="N6" s="40" t="str">
        <x:v>●</x:v>
      </x:c>
      <x:c r="O6" s="40" t="str">
        <x:v>—</x:v>
      </x:c>
      <x:c r="P6" s="40" t="str">
        <x:v>—</x:v>
      </x:c>
      <x:c r="Q6" s="40" t="str">
        <x:v>—</x:v>
      </x:c>
      <x:c r="R6" s="42" t="n">
        <x:f>COUNTIF(I6:Q6,"●")+0.5*COUNTIF(I6:Q6,"△")</x:f>
        <x:v>4.5</x:v>
      </x:c>
      <x:c r="S6" s="32" t="str">
        <x:v>DC-DC、LDO、LEDバックライト、ロードスイッチ、バッテリー管理、ファン・モーター、オーディオIC。</x:v>
      </x:c>
      <x:c r="T6" s="32" t="str">
        <x:v>ノートPC、ディスプレイ、民生機器の電源・周辺ICに強い。台湾ODMサプライチェーンへの浸透が特徴。</x:v>
      </x:c>
      <x:c r="U6" s="32" t="str">
        <x:v>https://www.gmt.com.tw/products/</x:v>
      </x:c>
      <x:c r="V6" s="40" t="str">
        <x:v>2026-07-16</x:v>
      </x:c>
    </x:row>
    <x:row r="7" ht="58" customHeight="1">
      <x:c r="A7" s="32" t="str">
        <x:v>アジア</x:v>
      </x:c>
      <x:c r="B7" s="32" t="str">
        <x:v>台湾</x:v>
      </x:c>
      <x:c r="C7" s="32" t="str">
        <x:v>Fitipower Integrated Technology</x:v>
      </x:c>
      <x:c r="D7" s="32" t="str">
        <x:v>独立企業</x:v>
      </x:c>
      <x:c r="E7" s="32" t="str">
        <x:v>https://www.fitipower.com/</x:v>
      </x:c>
      <x:c r="F7" s="32" t="str">
        <x:v>https://www.fitipower.com/en/product</x:v>
      </x:c>
      <x:c r="G7" s="32" t="str">
        <x:v>ディスプレイ／電源IC</x:v>
      </x:c>
      <x:c r="H7" s="40" t="str">
        <x:v>△</x:v>
      </x:c>
      <x:c r="I7" s="40" t="str">
        <x:v>●</x:v>
      </x:c>
      <x:c r="J7" s="40" t="str">
        <x:v>●</x:v>
      </x:c>
      <x:c r="K7" s="40" t="str">
        <x:v>●</x:v>
      </x:c>
      <x:c r="L7" s="40" t="str">
        <x:v>—</x:v>
      </x:c>
      <x:c r="M7" s="40" t="str">
        <x:v>△</x:v>
      </x:c>
      <x:c r="N7" s="40" t="str">
        <x:v>△</x:v>
      </x:c>
      <x:c r="O7" s="40" t="str">
        <x:v>—</x:v>
      </x:c>
      <x:c r="P7" s="40" t="str">
        <x:v>—</x:v>
      </x:c>
      <x:c r="Q7" s="40" t="str">
        <x:v>—</x:v>
      </x:c>
      <x:c r="R7" s="42" t="n">
        <x:f>COUNTIF(I7:Q7,"●")+0.5*COUNTIF(I7:Q7,"△")</x:f>
        <x:v>4</x:v>
      </x:c>
      <x:c r="S7" s="32" t="str">
        <x:v>DC-DC、LDO、LEDバックライト、ディスプレイ電源、モータードライバー、電源管理IC。</x:v>
      </x:c>
      <x:c r="T7" s="32" t="str">
        <x:v>LCD/OLEDディスプレイ周辺と民生電源に強い。パネル・ODM市場での設計採用が中心。</x:v>
      </x:c>
      <x:c r="U7" s="32" t="str">
        <x:v>https://www.fitipower.com/en/product</x:v>
      </x:c>
      <x:c r="V7" s="40" t="str">
        <x:v>2026-07-16</x:v>
      </x:c>
    </x:row>
    <x:row r="8" ht="58" customHeight="1">
      <x:c r="A8" s="32" t="str">
        <x:v>アジア</x:v>
      </x:c>
      <x:c r="B8" s="32" t="str">
        <x:v>台湾</x:v>
      </x:c>
      <x:c r="C8" s="32" t="str">
        <x:v>uPI Semiconductor</x:v>
      </x:c>
      <x:c r="D8" s="32" t="str">
        <x:v>独立企業</x:v>
      </x:c>
      <x:c r="E8" s="32" t="str">
        <x:v>https://www.upi-semi.com/</x:v>
      </x:c>
      <x:c r="F8" s="32" t="str">
        <x:v>https://www.upi-semi.com/en/products/</x:v>
      </x:c>
      <x:c r="G8" s="32" t="str">
        <x:v>コンピューティング電源IC</x:v>
      </x:c>
      <x:c r="H8" s="40" t="str">
        <x:v>△</x:v>
      </x:c>
      <x:c r="I8" s="40" t="str">
        <x:v>●</x:v>
      </x:c>
      <x:c r="J8" s="40" t="str">
        <x:v>△</x:v>
      </x:c>
      <x:c r="K8" s="40" t="str">
        <x:v>—</x:v>
      </x:c>
      <x:c r="L8" s="40" t="str">
        <x:v>—</x:v>
      </x:c>
      <x:c r="M8" s="40" t="str">
        <x:v>●</x:v>
      </x:c>
      <x:c r="N8" s="40" t="str">
        <x:v>△</x:v>
      </x:c>
      <x:c r="O8" s="40" t="str">
        <x:v>—</x:v>
      </x:c>
      <x:c r="P8" s="40" t="str">
        <x:v>—</x:v>
      </x:c>
      <x:c r="Q8" s="40" t="str">
        <x:v>●</x:v>
      </x:c>
      <x:c r="R8" s="42" t="n">
        <x:f>COUNTIF(I8:Q8,"●")+0.5*COUNTIF(I8:Q8,"△")</x:f>
        <x:v>4</x:v>
      </x:c>
      <x:c r="S8" s="32" t="str">
        <x:v>多相PWM、DrMOS、ゲートドライバー、GPU/CPU/メモリ電源、バッテリー管理、MOSFET。</x:v>
      </x:c>
      <x:c r="T8" s="32" t="str">
        <x:v>PC、GPU、サーバーの高電流Point-of-Loadに特化。AIコンピューティング電源で注目度が高い。</x:v>
      </x:c>
      <x:c r="U8" s="32" t="str">
        <x:v>https://www.upi-semi.com/en/products/</x:v>
      </x:c>
      <x:c r="V8" s="40" t="str">
        <x:v>2026-07-16</x:v>
      </x:c>
    </x:row>
    <x:row r="9" ht="58" customHeight="1">
      <x:c r="A9" s="32" t="str">
        <x:v>アジア</x:v>
      </x:c>
      <x:c r="B9" s="32" t="str">
        <x:v>台湾</x:v>
      </x:c>
      <x:c r="C9" s="32" t="str">
        <x:v>Leadtrend Technology</x:v>
      </x:c>
      <x:c r="D9" s="32" t="str">
        <x:v>独立企業</x:v>
      </x:c>
      <x:c r="E9" s="32" t="str">
        <x:v>https://www.leadtrend.com.tw/</x:v>
      </x:c>
      <x:c r="F9" s="32" t="str">
        <x:v>https://www.leadtrend.com.tw/en/product/</x:v>
      </x:c>
      <x:c r="G9" s="32" t="str">
        <x:v>AC-DC電源制御IC専業</x:v>
      </x:c>
      <x:c r="H9" s="40" t="str">
        <x:v>—</x:v>
      </x:c>
      <x:c r="I9" s="40" t="str">
        <x:v>△</x:v>
      </x:c>
      <x:c r="J9" s="40" t="str">
        <x:v>△</x:v>
      </x:c>
      <x:c r="K9" s="40" t="str">
        <x:v>△</x:v>
      </x:c>
      <x:c r="L9" s="40" t="str">
        <x:v>●</x:v>
      </x:c>
      <x:c r="M9" s="40" t="str">
        <x:v>△</x:v>
      </x:c>
      <x:c r="N9" s="40" t="str">
        <x:v>—</x:v>
      </x:c>
      <x:c r="O9" s="40" t="str">
        <x:v>—</x:v>
      </x:c>
      <x:c r="P9" s="40" t="str">
        <x:v>△</x:v>
      </x:c>
      <x:c r="Q9" s="40" t="str">
        <x:v>—</x:v>
      </x:c>
      <x:c r="R9" s="42" t="n">
        <x:f>COUNTIF(I9:Q9,"●")+0.5*COUNTIF(I9:Q9,"△")</x:f>
        <x:v>3.5</x:v>
      </x:c>
      <x:c r="S9" s="32" t="str">
        <x:v>PWM、QR/LLC、PFC、一次側制御、LED電源、USB-PD/急速充電、GaN対応AC-DCコントローラー。</x:v>
      </x:c>
      <x:c r="T9" s="32" t="str">
        <x:v>アダプター、家電、照明向けオフライン電源に特化。中国・台湾電源メーカーへの浸透が強い。</x:v>
      </x:c>
      <x:c r="U9" s="32" t="str">
        <x:v>https://www.leadtrend.com.tw/en/product/</x:v>
      </x:c>
      <x:c r="V9" s="40" t="str">
        <x:v>2026-07-16</x:v>
      </x:c>
    </x:row>
    <x:row r="10" ht="58" customHeight="1">
      <x:c r="A10" s="32" t="str">
        <x:v>アジア</x:v>
      </x:c>
      <x:c r="B10" s="32" t="str">
        <x:v>台湾</x:v>
      </x:c>
      <x:c r="C10" s="32" t="str">
        <x:v>Taiwan Semiconductor</x:v>
      </x:c>
      <x:c r="D10" s="32" t="str">
        <x:v>独立企業</x:v>
      </x:c>
      <x:c r="E10" s="32" t="str">
        <x:v>https://www.taiwansemi.com/</x:v>
      </x:c>
      <x:c r="F10" s="32" t="str">
        <x:v>https://www.taiwansemi.com/en/products/</x:v>
      </x:c>
      <x:c r="G10" s="32" t="str">
        <x:v>ディスクリート＋電源IC</x:v>
      </x:c>
      <x:c r="H10" s="40" t="str">
        <x:v>●</x:v>
      </x:c>
      <x:c r="I10" s="40" t="str">
        <x:v>△</x:v>
      </x:c>
      <x:c r="J10" s="40" t="str">
        <x:v>△</x:v>
      </x:c>
      <x:c r="K10" s="40" t="str">
        <x:v>●</x:v>
      </x:c>
      <x:c r="L10" s="40" t="str">
        <x:v>△</x:v>
      </x:c>
      <x:c r="M10" s="40" t="str">
        <x:v>△</x:v>
      </x:c>
      <x:c r="N10" s="40" t="str">
        <x:v>—</x:v>
      </x:c>
      <x:c r="O10" s="40" t="str">
        <x:v>—</x:v>
      </x:c>
      <x:c r="P10" s="40" t="str">
        <x:v>—</x:v>
      </x:c>
      <x:c r="Q10" s="40" t="str">
        <x:v>●</x:v>
      </x:c>
      <x:c r="R10" s="42" t="n">
        <x:f>COUNTIF(I10:Q10,"●")+0.5*COUNTIF(I10:Q10,"△")</x:f>
        <x:v>4</x:v>
      </x:c>
      <x:c r="S10" s="32" t="str">
        <x:v>整流器、TVS、MOSFET、車載ダイオード、AC/DC・DC/DC LEDドライバー、LDO、電源管理IC。</x:v>
      </x:c>
      <x:c r="T10" s="32" t="str">
        <x:v>車載認証ディスクリートとLEDドライバーを併売。標準部品の供給力とコストが強み。</x:v>
      </x:c>
      <x:c r="U10" s="32" t="str">
        <x:v>https://www.taiwansemi.com/en/products/</x:v>
      </x:c>
      <x:c r="V10" s="40" t="str">
        <x:v>2026-07-16</x:v>
      </x:c>
    </x:row>
    <x:row r="11" ht="58" customHeight="1">
      <x:c r="A11" s="32" t="str">
        <x:v>アジア</x:v>
      </x:c>
      <x:c r="B11" s="32" t="str">
        <x:v>台湾</x:v>
      </x:c>
      <x:c r="C11" s="32" t="str">
        <x:v>Excelliance MOS (EMC)</x:v>
      </x:c>
      <x:c r="D11" s="32" t="str">
        <x:v>独立企業</x:v>
      </x:c>
      <x:c r="E11" s="32" t="str">
        <x:v>https://www.excelliancemos.com/</x:v>
      </x:c>
      <x:c r="F11" s="32" t="str">
        <x:v>https://www.excelliancemos.com/en/product/</x:v>
      </x:c>
      <x:c r="G11" s="32" t="str">
        <x:v>MOSFET＋電源IC</x:v>
      </x:c>
      <x:c r="H11" s="40" t="str">
        <x:v>△</x:v>
      </x:c>
      <x:c r="I11" s="40" t="str">
        <x:v>●</x:v>
      </x:c>
      <x:c r="J11" s="40" t="str">
        <x:v>●</x:v>
      </x:c>
      <x:c r="K11" s="40" t="str">
        <x:v>—</x:v>
      </x:c>
      <x:c r="L11" s="40" t="str">
        <x:v>●</x:v>
      </x:c>
      <x:c r="M11" s="40" t="str">
        <x:v>—</x:v>
      </x:c>
      <x:c r="N11" s="40" t="str">
        <x:v>●</x:v>
      </x:c>
      <x:c r="O11" s="40" t="str">
        <x:v>—</x:v>
      </x:c>
      <x:c r="P11" s="40" t="str">
        <x:v>—</x:v>
      </x:c>
      <x:c r="Q11" s="40" t="str">
        <x:v>●</x:v>
      </x:c>
      <x:c r="R11" s="42" t="n">
        <x:f>COUNTIF(I11:Q11,"●")+0.5*COUNTIF(I11:Q11,"△")</x:f>
        <x:v>5</x:v>
      </x:c>
      <x:c r="S11" s="32" t="str">
        <x:v>MOSFET、ロードスイッチ、DC-DC、LDO、AC-DC電源IC、バッテリー保護、DrMOS。</x:v>
      </x:c>
      <x:c r="T11" s="32" t="str">
        <x:v>MOSFETと制御ICを組み合わせ、PC・民生・アダプター市場でコスト競争力を持つ。</x:v>
      </x:c>
      <x:c r="U11" s="32" t="str">
        <x:v>https://www.excelliancemos.com/en/product/</x:v>
      </x:c>
      <x:c r="V11" s="40" t="str">
        <x:v>2026-07-16</x:v>
      </x:c>
    </x:row>
    <x:row r="12" ht="58" customHeight="1">
      <x:c r="A12" s="32" t="str">
        <x:v>アジア</x:v>
      </x:c>
      <x:c r="B12" s="32" t="str">
        <x:v>台湾</x:v>
      </x:c>
      <x:c r="C12" s="32" t="str">
        <x:v>Macroblock</x:v>
      </x:c>
      <x:c r="D12" s="32" t="str">
        <x:v>独立企業</x:v>
      </x:c>
      <x:c r="E12" s="32" t="str">
        <x:v>https://www.mblock.com.tw/</x:v>
      </x:c>
      <x:c r="F12" s="32" t="str">
        <x:v>https://www.mblock.com.tw/en/product/</x:v>
      </x:c>
      <x:c r="G12" s="32" t="str">
        <x:v>LEDドライバー専業</x:v>
      </x:c>
      <x:c r="H12" s="40" t="str">
        <x:v>△</x:v>
      </x:c>
      <x:c r="I12" s="40" t="str">
        <x:v>—</x:v>
      </x:c>
      <x:c r="J12" s="40" t="str">
        <x:v>—</x:v>
      </x:c>
      <x:c r="K12" s="40" t="str">
        <x:v>●</x:v>
      </x:c>
      <x:c r="L12" s="40" t="str">
        <x:v>—</x:v>
      </x:c>
      <x:c r="M12" s="40" t="str">
        <x:v>—</x:v>
      </x:c>
      <x:c r="N12" s="40" t="str">
        <x:v>—</x:v>
      </x:c>
      <x:c r="O12" s="40" t="str">
        <x:v>—</x:v>
      </x:c>
      <x:c r="P12" s="40" t="str">
        <x:v>—</x:v>
      </x:c>
      <x:c r="Q12" s="40" t="str">
        <x:v>—</x:v>
      </x:c>
      <x:c r="R12" s="42" t="n">
        <x:f>COUNTIF(I12:Q12,"●")+0.5*COUNTIF(I12:Q12,"△")</x:f>
        <x:v>1</x:v>
      </x:c>
      <x:c r="S12" s="32" t="str">
        <x:v>LEDディスプレイドライバー、ミニ／マイクロLED、車載照明、建築・舞台照明向け定電流ドライバー。</x:v>
      </x:c>
      <x:c r="T12" s="32" t="str">
        <x:v>大型LED表示と高チャネル定電流駆動に特化。映像品質補正・スキャン制御が差別化要素。</x:v>
      </x:c>
      <x:c r="U12" s="32" t="str">
        <x:v>https://www.mblock.com.tw/en/product/</x:v>
      </x:c>
      <x:c r="V12" s="40" t="str">
        <x:v>2026-07-16</x:v>
      </x:c>
    </x:row>
    <x:row r="13" ht="58" customHeight="1">
      <x:c r="A13" s="32" t="str">
        <x:v>アジア</x:v>
      </x:c>
      <x:c r="B13" s="32" t="str">
        <x:v>台湾</x:v>
      </x:c>
      <x:c r="C13" s="32" t="str">
        <x:v>Weltrend Semiconductor</x:v>
      </x:c>
      <x:c r="D13" s="32" t="str">
        <x:v>独立企業</x:v>
      </x:c>
      <x:c r="E13" s="32" t="str">
        <x:v>https://www.weltrend.com.tw/</x:v>
      </x:c>
      <x:c r="F13" s="32" t="str">
        <x:v>https://www.weltrend.com.tw/en-global/product</x:v>
      </x:c>
      <x:c r="G13" s="32" t="str">
        <x:v>電源／ディスプレイ制御IC</x:v>
      </x:c>
      <x:c r="H13" s="40" t="str">
        <x:v>△</x:v>
      </x:c>
      <x:c r="I13" s="40" t="str">
        <x:v>△</x:v>
      </x:c>
      <x:c r="J13" s="40" t="str">
        <x:v>—</x:v>
      </x:c>
      <x:c r="K13" s="40" t="str">
        <x:v>△</x:v>
      </x:c>
      <x:c r="L13" s="40" t="str">
        <x:v>●</x:v>
      </x:c>
      <x:c r="M13" s="40" t="str">
        <x:v>△</x:v>
      </x:c>
      <x:c r="N13" s="40" t="str">
        <x:v>—</x:v>
      </x:c>
      <x:c r="O13" s="40" t="str">
        <x:v>—</x:v>
      </x:c>
      <x:c r="P13" s="40" t="str">
        <x:v>—</x:v>
      </x:c>
      <x:c r="Q13" s="40" t="str">
        <x:v>—</x:v>
      </x:c>
      <x:c r="R13" s="42" t="n">
        <x:f>COUNTIF(I13:Q13,"●")+0.5*COUNTIF(I13:Q13,"△")</x:f>
        <x:v>2.5</x:v>
      </x:c>
      <x:c r="S13" s="32" t="str">
        <x:v>AC-DC電源管理、USB-PD、PFC/PWM、モニター／TV制御、LED・ディスプレイ関連IC。</x:v>
      </x:c>
      <x:c r="T13" s="32" t="str">
        <x:v>ディスプレイ・家電・アダプターの電源制御に強い。システムコントローラーとの統合が特徴。</x:v>
      </x:c>
      <x:c r="U13" s="32" t="str">
        <x:v>https://www.weltrend.com.tw/en-global/product</x:v>
      </x:c>
      <x:c r="V13" s="40" t="str">
        <x:v>2026-07-16</x:v>
      </x:c>
    </x:row>
    <x:row r="14" ht="58" customHeight="1">
      <x:c r="A14" s="32" t="str">
        <x:v>アジア</x:v>
      </x:c>
      <x:c r="B14" s="32" t="str">
        <x:v>中国</x:v>
      </x:c>
      <x:c r="C14" s="32" t="str">
        <x:v>Silergy</x:v>
      </x:c>
      <x:c r="D14" s="32" t="str">
        <x:v>独立企業</x:v>
      </x:c>
      <x:c r="E14" s="32" t="str">
        <x:v>https://www.silergy.com/</x:v>
      </x:c>
      <x:c r="F14" s="32" t="str">
        <x:v>https://www.silergy.com/products/</x:v>
      </x:c>
      <x:c r="G14" s="32" t="str">
        <x:v>総合電源IC／パワー半導体</x:v>
      </x:c>
      <x:c r="H14" s="40" t="str">
        <x:v>●</x:v>
      </x:c>
      <x:c r="I14" s="40" t="str">
        <x:v>●</x:v>
      </x:c>
      <x:c r="J14" s="40" t="str">
        <x:v>●</x:v>
      </x:c>
      <x:c r="K14" s="40" t="str">
        <x:v>●</x:v>
      </x:c>
      <x:c r="L14" s="40" t="str">
        <x:v>●</x:v>
      </x:c>
      <x:c r="M14" s="40" t="str">
        <x:v>●</x:v>
      </x:c>
      <x:c r="N14" s="40" t="str">
        <x:v>●</x:v>
      </x:c>
      <x:c r="O14" s="40" t="str">
        <x:v>△</x:v>
      </x:c>
      <x:c r="P14" s="40" t="str">
        <x:v>△</x:v>
      </x:c>
      <x:c r="Q14" s="40" t="str">
        <x:v>●</x:v>
      </x:c>
      <x:c r="R14" s="42" t="n">
        <x:f>COUNTIF(I14:Q14,"●")+0.5*COUNTIF(I14:Q14,"△")</x:f>
        <x:v>8</x:v>
      </x:c>
      <x:c r="S14" s="32" t="str">
        <x:v>DC-DC、LDO、LED、AC-DC、PFC、モーター／ゲートドライバー、ロードスイッチ、バッテリー、GaN対応、パワーモジュール。</x:v>
      </x:c>
      <x:c r="T14" s="32" t="str">
        <x:v>中国系で最も製品幅が広い電源IC企業の一つ。民生、通信、産業、車載でグローバル展開。</x:v>
      </x:c>
      <x:c r="U14" s="32" t="str">
        <x:v>https://www.silergy.com/products/</x:v>
      </x:c>
      <x:c r="V14" s="40" t="str">
        <x:v>2026-07-16</x:v>
      </x:c>
    </x:row>
    <x:row r="15" ht="58" customHeight="1">
      <x:c r="A15" s="32" t="str">
        <x:v>アジア</x:v>
      </x:c>
      <x:c r="B15" s="32" t="str">
        <x:v>中国</x:v>
      </x:c>
      <x:c r="C15" s="32" t="str">
        <x:v>Southchip Semiconductor</x:v>
      </x:c>
      <x:c r="D15" s="32" t="str">
        <x:v>独立企業</x:v>
      </x:c>
      <x:c r="E15" s="32" t="str">
        <x:v>https://www.southchip.com/</x:v>
      </x:c>
      <x:c r="F15" s="32" t="str">
        <x:v>https://www.southchip.com/product/</x:v>
      </x:c>
      <x:c r="G15" s="32" t="str">
        <x:v>急速充電／電源IC専業</x:v>
      </x:c>
      <x:c r="H15" s="40" t="str">
        <x:v>●</x:v>
      </x:c>
      <x:c r="I15" s="40" t="str">
        <x:v>●</x:v>
      </x:c>
      <x:c r="J15" s="40" t="str">
        <x:v>△</x:v>
      </x:c>
      <x:c r="K15" s="40" t="str">
        <x:v>△</x:v>
      </x:c>
      <x:c r="L15" s="40" t="str">
        <x:v>●</x:v>
      </x:c>
      <x:c r="M15" s="40" t="str">
        <x:v>△</x:v>
      </x:c>
      <x:c r="N15" s="40" t="str">
        <x:v>●</x:v>
      </x:c>
      <x:c r="O15" s="40" t="str">
        <x:v>△</x:v>
      </x:c>
      <x:c r="P15" s="40" t="str">
        <x:v>△</x:v>
      </x:c>
      <x:c r="Q15" s="40" t="str">
        <x:v>—</x:v>
      </x:c>
      <x:c r="R15" s="42" t="n">
        <x:f>COUNTIF(I15:Q15,"●")+0.5*COUNTIF(I15:Q15,"△")</x:f>
        <x:v>5.5</x:v>
      </x:c>
      <x:c r="S15" s="32" t="str">
        <x:v>Charge Pump、Buck/Boost、USB-PD、AC-DC、バッテリー充電、ロードスイッチ、車載電源、GaN急速充電。</x:v>
      </x:c>
      <x:c r="T15" s="32" t="str">
        <x:v>スマートフォン急速充電と高効率チャージポンプで強い。車載・産業・データセンターへ拡大。</x:v>
      </x:c>
      <x:c r="U15" s="32" t="str">
        <x:v>https://www.southchip.com/product/</x:v>
      </x:c>
      <x:c r="V15" s="40" t="str">
        <x:v>2026-07-16</x:v>
      </x:c>
    </x:row>
    <x:row r="16" ht="58" customHeight="1">
      <x:c r="A16" s="32" t="str">
        <x:v>アジア</x:v>
      </x:c>
      <x:c r="B16" s="32" t="str">
        <x:v>中国</x:v>
      </x:c>
      <x:c r="C16" s="32" t="str">
        <x:v>JoulWatt Technology</x:v>
      </x:c>
      <x:c r="D16" s="32" t="str">
        <x:v>独立企業</x:v>
      </x:c>
      <x:c r="E16" s="32" t="str">
        <x:v>https://www.joulwatt.com/</x:v>
      </x:c>
      <x:c r="F16" s="32" t="str">
        <x:v>https://www.joulwatt.com/en/product/</x:v>
      </x:c>
      <x:c r="G16" s="32" t="str">
        <x:v>総合電源IC＋パワーデバイス</x:v>
      </x:c>
      <x:c r="H16" s="40" t="str">
        <x:v>●</x:v>
      </x:c>
      <x:c r="I16" s="40" t="str">
        <x:v>●</x:v>
      </x:c>
      <x:c r="J16" s="40" t="str">
        <x:v>●</x:v>
      </x:c>
      <x:c r="K16" s="40" t="str">
        <x:v>●</x:v>
      </x:c>
      <x:c r="L16" s="40" t="str">
        <x:v>●</x:v>
      </x:c>
      <x:c r="M16" s="40" t="str">
        <x:v>●</x:v>
      </x:c>
      <x:c r="N16" s="40" t="str">
        <x:v>●</x:v>
      </x:c>
      <x:c r="O16" s="40" t="str">
        <x:v>△</x:v>
      </x:c>
      <x:c r="P16" s="40" t="str">
        <x:v>△</x:v>
      </x:c>
      <x:c r="Q16" s="40" t="str">
        <x:v>●</x:v>
      </x:c>
      <x:c r="R16" s="42" t="n">
        <x:f>COUNTIF(I16:Q16,"●")+0.5*COUNTIF(I16:Q16,"△")</x:f>
        <x:v>8</x:v>
      </x:c>
      <x:c r="S16" s="32" t="str">
        <x:v>DC-DC、LDO、LED、AC-DC、ゲートドライバー、eFuse、ロードスイッチ、DrMOS、MOSFET、車載電源。</x:v>
      </x:c>
      <x:c r="T16" s="32" t="str">
        <x:v>コンピューティング、通信、車載、産業へ広く展開。中国国内代替と高集積パワーステージが成長軸。</x:v>
      </x:c>
      <x:c r="U16" s="32" t="str">
        <x:v>https://www.joulwatt.com/en/product/</x:v>
      </x:c>
      <x:c r="V16" s="40" t="str">
        <x:v>2026-07-16</x:v>
      </x:c>
    </x:row>
    <x:row r="17" ht="58" customHeight="1">
      <x:c r="A17" s="32" t="str">
        <x:v>アジア</x:v>
      </x:c>
      <x:c r="B17" s="32" t="str">
        <x:v>中国</x:v>
      </x:c>
      <x:c r="C17" s="32" t="str">
        <x:v>SG Micro</x:v>
      </x:c>
      <x:c r="D17" s="32" t="str">
        <x:v>独立企業</x:v>
      </x:c>
      <x:c r="E17" s="32" t="str">
        <x:v>https://www.sg-micro.com/</x:v>
      </x:c>
      <x:c r="F17" s="32" t="str">
        <x:v>https://www.sg-micro.com/product/</x:v>
      </x:c>
      <x:c r="G17" s="32" t="str">
        <x:v>高性能アナログ／電源IC</x:v>
      </x:c>
      <x:c r="H17" s="40" t="str">
        <x:v>●</x:v>
      </x:c>
      <x:c r="I17" s="40" t="str">
        <x:v>●</x:v>
      </x:c>
      <x:c r="J17" s="40" t="str">
        <x:v>●</x:v>
      </x:c>
      <x:c r="K17" s="40" t="str">
        <x:v>●</x:v>
      </x:c>
      <x:c r="L17" s="40" t="str">
        <x:v>△</x:v>
      </x:c>
      <x:c r="M17" s="40" t="str">
        <x:v>●</x:v>
      </x:c>
      <x:c r="N17" s="40" t="str">
        <x:v>●</x:v>
      </x:c>
      <x:c r="O17" s="40" t="str">
        <x:v>△</x:v>
      </x:c>
      <x:c r="P17" s="40" t="str">
        <x:v>—</x:v>
      </x:c>
      <x:c r="Q17" s="40" t="str">
        <x:v>—</x:v>
      </x:c>
      <x:c r="R17" s="42" t="n">
        <x:f>COUNTIF(I17:Q17,"●")+0.5*COUNTIF(I17:Q17,"△")</x:f>
        <x:v>6</x:v>
      </x:c>
      <x:c r="S17" s="32" t="str">
        <x:v>DC-DC、LDO、LED、ロードスイッチ、eFuse、バッテリー、ゲートドライバー、オペアンプ、車載アナログ。</x:v>
      </x:c>
      <x:c r="T17" s="32" t="str">
        <x:v>高性能アナログと電源を幅広く持ち、中国系スマートフォン・産業・車載市場で急拡大。</x:v>
      </x:c>
      <x:c r="U17" s="32" t="str">
        <x:v>https://www.sg-micro.com/product/</x:v>
      </x:c>
      <x:c r="V17" s="40" t="str">
        <x:v>2026-07-16</x:v>
      </x:c>
    </x:row>
    <x:row r="18" ht="58" customHeight="1">
      <x:c r="A18" s="32" t="str">
        <x:v>アジア</x:v>
      </x:c>
      <x:c r="B18" s="32" t="str">
        <x:v>中国</x:v>
      </x:c>
      <x:c r="C18" s="32" t="str">
        <x:v>Chipown Micro-electronics</x:v>
      </x:c>
      <x:c r="D18" s="32" t="str">
        <x:v>独立企業</x:v>
      </x:c>
      <x:c r="E18" s="32" t="str">
        <x:v>https://www.chipown.com/</x:v>
      </x:c>
      <x:c r="F18" s="32" t="str">
        <x:v>https://www.chipown.com/en/product/</x:v>
      </x:c>
      <x:c r="G18" s="32" t="str">
        <x:v>AC-DC／パワーIC</x:v>
      </x:c>
      <x:c r="H18" s="40" t="str">
        <x:v>△</x:v>
      </x:c>
      <x:c r="I18" s="40" t="str">
        <x:v>●</x:v>
      </x:c>
      <x:c r="J18" s="40" t="str">
        <x:v>△</x:v>
      </x:c>
      <x:c r="K18" s="40" t="str">
        <x:v>●</x:v>
      </x:c>
      <x:c r="L18" s="40" t="str">
        <x:v>●</x:v>
      </x:c>
      <x:c r="M18" s="40" t="str">
        <x:v>●</x:v>
      </x:c>
      <x:c r="N18" s="40" t="str">
        <x:v>△</x:v>
      </x:c>
      <x:c r="O18" s="40" t="str">
        <x:v>—</x:v>
      </x:c>
      <x:c r="P18" s="40" t="str">
        <x:v>△</x:v>
      </x:c>
      <x:c r="Q18" s="40" t="str">
        <x:v>●</x:v>
      </x:c>
      <x:c r="R18" s="42" t="n">
        <x:f>COUNTIF(I18:Q18,"●")+0.5*COUNTIF(I18:Q18,"△")</x:f>
        <x:v>6.5</x:v>
      </x:c>
      <x:c r="S18" s="32" t="str">
        <x:v>AC-DC、PFC、LED、モーター／ゲートドライバー、DC-DC、IPM、MOSFET、GaN対応電源。</x:v>
      </x:c>
      <x:c r="T18" s="32" t="str">
        <x:v>家電、電源アダプター、照明、モーター制御に強い。高耐圧BCDとパワーデバイス統合が特徴。</x:v>
      </x:c>
      <x:c r="U18" s="32" t="str">
        <x:v>https://www.chipown.com/en/product/</x:v>
      </x:c>
      <x:c r="V18" s="40" t="str">
        <x:v>2026-07-16</x:v>
      </x:c>
    </x:row>
    <x:row r="19" ht="58" customHeight="1">
      <x:c r="A19" s="32" t="str">
        <x:v>アジア</x:v>
      </x:c>
      <x:c r="B19" s="32" t="str">
        <x:v>中国</x:v>
      </x:c>
      <x:c r="C19" s="32" t="str">
        <x:v>Maxic Technology</x:v>
      </x:c>
      <x:c r="D19" s="32" t="str">
        <x:v>独立企業</x:v>
      </x:c>
      <x:c r="E19" s="32" t="str">
        <x:v>https://www.maxictech.com/</x:v>
      </x:c>
      <x:c r="F19" s="32" t="str">
        <x:v>https://www.maxictech.com/en/product/</x:v>
      </x:c>
      <x:c r="G19" s="32" t="str">
        <x:v>LED／AC-DC／車載電源IC</x:v>
      </x:c>
      <x:c r="H19" s="40" t="str">
        <x:v>●</x:v>
      </x:c>
      <x:c r="I19" s="40" t="str">
        <x:v>●</x:v>
      </x:c>
      <x:c r="J19" s="40" t="str">
        <x:v>△</x:v>
      </x:c>
      <x:c r="K19" s="40" t="str">
        <x:v>●</x:v>
      </x:c>
      <x:c r="L19" s="40" t="str">
        <x:v>●</x:v>
      </x:c>
      <x:c r="M19" s="40" t="str">
        <x:v>△</x:v>
      </x:c>
      <x:c r="N19" s="40" t="str">
        <x:v>△</x:v>
      </x:c>
      <x:c r="O19" s="40" t="str">
        <x:v>—</x:v>
      </x:c>
      <x:c r="P19" s="40" t="str">
        <x:v>△</x:v>
      </x:c>
      <x:c r="Q19" s="40" t="str">
        <x:v>—</x:v>
      </x:c>
      <x:c r="R19" s="42" t="n">
        <x:f>COUNTIF(I19:Q19,"●")+0.5*COUNTIF(I19:Q19,"△")</x:f>
        <x:v>5</x:v>
      </x:c>
      <x:c r="S19" s="32" t="str">
        <x:v>LED照明、AC-DC、PFC、DC-DC、車載LED、モーター・電源制御、急速充電IC。</x:v>
      </x:c>
      <x:c r="T19" s="32" t="str">
        <x:v>LED照明電源で築いた基盤を車載照明・急速充電へ展開。中国照明・家電市場で強い。</x:v>
      </x:c>
      <x:c r="U19" s="32" t="str">
        <x:v>https://www.maxictech.com/en/product/</x:v>
      </x:c>
      <x:c r="V19" s="40" t="str">
        <x:v>2026-07-16</x:v>
      </x:c>
    </x:row>
    <x:row r="20" ht="58" customHeight="1">
      <x:c r="A20" s="32" t="str">
        <x:v>アジア</x:v>
      </x:c>
      <x:c r="B20" s="32" t="str">
        <x:v>中国</x:v>
      </x:c>
      <x:c r="C20" s="32" t="str">
        <x:v>Bright Power Semiconductor (BPS)</x:v>
      </x:c>
      <x:c r="D20" s="32" t="str">
        <x:v>独立企業</x:v>
      </x:c>
      <x:c r="E20" s="32" t="str">
        <x:v>https://www.bpsemi.com/</x:v>
      </x:c>
      <x:c r="F20" s="32" t="str">
        <x:v>https://www.bpsemi.com/en/product/</x:v>
      </x:c>
      <x:c r="G20" s="32" t="str">
        <x:v>電源／LED／モータードライバー</x:v>
      </x:c>
      <x:c r="H20" s="40" t="str">
        <x:v>△</x:v>
      </x:c>
      <x:c r="I20" s="40" t="str">
        <x:v>●</x:v>
      </x:c>
      <x:c r="J20" s="40" t="str">
        <x:v>△</x:v>
      </x:c>
      <x:c r="K20" s="40" t="str">
        <x:v>●</x:v>
      </x:c>
      <x:c r="L20" s="40" t="str">
        <x:v>●</x:v>
      </x:c>
      <x:c r="M20" s="40" t="str">
        <x:v>●</x:v>
      </x:c>
      <x:c r="N20" s="40" t="str">
        <x:v>△</x:v>
      </x:c>
      <x:c r="O20" s="40" t="str">
        <x:v>—</x:v>
      </x:c>
      <x:c r="P20" s="40" t="str">
        <x:v>—</x:v>
      </x:c>
      <x:c r="Q20" s="40" t="str">
        <x:v>—</x:v>
      </x:c>
      <x:c r="R20" s="42" t="n">
        <x:f>COUNTIF(I20:Q20,"●")+0.5*COUNTIF(I20:Q20,"△")</x:f>
        <x:v>5</x:v>
      </x:c>
      <x:c r="S20" s="32" t="str">
        <x:v>AC-DC、LED、DC-DC、モータードライバー、ゲートドライバー、家電・照明用電源管理IC。</x:v>
      </x:c>
      <x:c r="T20" s="32" t="str">
        <x:v>照明と白物家電向け電源・モーター制御で規模を持つ。中国国内の量販市場で強い。</x:v>
      </x:c>
      <x:c r="U20" s="32" t="str">
        <x:v>https://www.bpsemi.com/en/product/</x:v>
      </x:c>
      <x:c r="V20" s="40" t="str">
        <x:v>2026-07-16</x:v>
      </x:c>
    </x:row>
    <x:row r="21" ht="58" customHeight="1">
      <x:c r="A21" s="32" t="str">
        <x:v>アジア</x:v>
      </x:c>
      <x:c r="B21" s="32" t="str">
        <x:v>中国</x:v>
      </x:c>
      <x:c r="C21" s="32" t="str">
        <x:v>Innoscience</x:v>
      </x:c>
      <x:c r="D21" s="32" t="str">
        <x:v>独立企業</x:v>
      </x:c>
      <x:c r="E21" s="32" t="str">
        <x:v>https://www.innoscience.com/</x:v>
      </x:c>
      <x:c r="F21" s="32" t="str">
        <x:v>https://www.innoscience.com/site/product</x:v>
      </x:c>
      <x:c r="G21" s="32" t="str">
        <x:v>GaNパワーデバイス専業</x:v>
      </x:c>
      <x:c r="H21" s="40" t="str">
        <x:v>●</x:v>
      </x:c>
      <x:c r="I21" s="40" t="str">
        <x:v>△</x:v>
      </x:c>
      <x:c r="J21" s="40" t="str">
        <x:v>—</x:v>
      </x:c>
      <x:c r="K21" s="40" t="str">
        <x:v>—</x:v>
      </x:c>
      <x:c r="L21" s="40" t="str">
        <x:v>△</x:v>
      </x:c>
      <x:c r="M21" s="40" t="str">
        <x:v>●</x:v>
      </x:c>
      <x:c r="N21" s="40" t="str">
        <x:v>△</x:v>
      </x:c>
      <x:c r="O21" s="40" t="str">
        <x:v>—</x:v>
      </x:c>
      <x:c r="P21" s="40" t="str">
        <x:v>●</x:v>
      </x:c>
      <x:c r="Q21" s="40" t="str">
        <x:v>●</x:v>
      </x:c>
      <x:c r="R21" s="42" t="n">
        <x:f>COUNTIF(I21:Q21,"●")+0.5*COUNTIF(I21:Q21,"△")</x:f>
        <x:v>4.5</x:v>
      </x:c>
      <x:c r="S21" s="32" t="str">
        <x:v>低耐圧～高耐圧GaN HEMT、双方向GaN、統合ドライバー／保護デバイス、車載・民生・データセンター向け。</x:v>
      </x:c>
      <x:c r="T21" s="32" t="str">
        <x:v>大口径GaN-on-Si量産能力と広い耐圧レンジが強み。急速充電から車載・AI電源へ拡大。</x:v>
      </x:c>
      <x:c r="U21" s="32" t="str">
        <x:v>https://www.innoscience.com/site/product</x:v>
      </x:c>
      <x:c r="V21" s="40" t="str">
        <x:v>2026-07-16</x:v>
      </x:c>
    </x:row>
    <x:row r="22" ht="58" customHeight="1">
      <x:c r="A22" s="32" t="str">
        <x:v>アジア</x:v>
      </x:c>
      <x:c r="B22" s="32" t="str">
        <x:v>中国</x:v>
      </x:c>
      <x:c r="C22" s="32" t="str">
        <x:v>ETA Solutions / ETA Semiconductor</x:v>
      </x:c>
      <x:c r="D22" s="32" t="str">
        <x:v>独立企業</x:v>
      </x:c>
      <x:c r="E22" s="32" t="str">
        <x:v>https://www.eta-semi.com/</x:v>
      </x:c>
      <x:c r="F22" s="32" t="str">
        <x:v>https://www.eta-semi.com/products/</x:v>
      </x:c>
      <x:c r="G22" s="32" t="str">
        <x:v>電源IC専業</x:v>
      </x:c>
      <x:c r="H22" s="40" t="str">
        <x:v>△</x:v>
      </x:c>
      <x:c r="I22" s="40" t="str">
        <x:v>●</x:v>
      </x:c>
      <x:c r="J22" s="40" t="str">
        <x:v>●</x:v>
      </x:c>
      <x:c r="K22" s="40" t="str">
        <x:v>●</x:v>
      </x:c>
      <x:c r="L22" s="40" t="str">
        <x:v>●</x:v>
      </x:c>
      <x:c r="M22" s="40" t="str">
        <x:v>△</x:v>
      </x:c>
      <x:c r="N22" s="40" t="str">
        <x:v>●</x:v>
      </x:c>
      <x:c r="O22" s="40" t="str">
        <x:v>△</x:v>
      </x:c>
      <x:c r="P22" s="40" t="str">
        <x:v>—</x:v>
      </x:c>
      <x:c r="Q22" s="40" t="str">
        <x:v>—</x:v>
      </x:c>
      <x:c r="R22" s="42" t="n">
        <x:f>COUNTIF(I22:Q22,"●")+0.5*COUNTIF(I22:Q22,"△")</x:f>
        <x:v>6</x:v>
      </x:c>
      <x:c r="S22" s="32" t="str">
        <x:v>DC-DC、LDO、ロードスイッチ、バッテリー充電、LED、AC-DC、電源監視、オーディオ電源。</x:v>
      </x:c>
      <x:c r="T22" s="32" t="str">
        <x:v>携帯機器・IoT・民生向け小型電源に強い。中国ODM向けのコストと迅速な製品化が特徴。</x:v>
      </x:c>
      <x:c r="U22" s="32" t="str">
        <x:v>https://www.eta-semi.com/products/</x:v>
      </x:c>
      <x:c r="V22" s="40" t="str">
        <x:v>2026-07-16</x:v>
      </x:c>
    </x:row>
    <x:row r="23" ht="58" customHeight="1">
      <x:c r="A23" s="32" t="str">
        <x:v>アジア</x:v>
      </x:c>
      <x:c r="B23" s="32" t="str">
        <x:v>中国</x:v>
      </x:c>
      <x:c r="C23" s="32" t="str">
        <x:v>Winsemi Microelectronics</x:v>
      </x:c>
      <x:c r="D23" s="32" t="str">
        <x:v>独立企業</x:v>
      </x:c>
      <x:c r="E23" s="32" t="str">
        <x:v>https://www.winsemi.com/</x:v>
      </x:c>
      <x:c r="F23" s="32" t="str">
        <x:v>https://www.winsemi.com/en/products/</x:v>
      </x:c>
      <x:c r="G23" s="32" t="str">
        <x:v>高耐圧AC-DC／電源IC</x:v>
      </x:c>
      <x:c r="H23" s="40" t="str">
        <x:v>△</x:v>
      </x:c>
      <x:c r="I23" s="40" t="str">
        <x:v>●</x:v>
      </x:c>
      <x:c r="J23" s="40" t="str">
        <x:v>●</x:v>
      </x:c>
      <x:c r="K23" s="40" t="str">
        <x:v>●</x:v>
      </x:c>
      <x:c r="L23" s="40" t="str">
        <x:v>●</x:v>
      </x:c>
      <x:c r="M23" s="40" t="str">
        <x:v>●</x:v>
      </x:c>
      <x:c r="N23" s="40" t="str">
        <x:v>△</x:v>
      </x:c>
      <x:c r="O23" s="40" t="str">
        <x:v>—</x:v>
      </x:c>
      <x:c r="P23" s="40" t="str">
        <x:v>△</x:v>
      </x:c>
      <x:c r="Q23" s="40" t="str">
        <x:v>●</x:v>
      </x:c>
      <x:c r="R23" s="42" t="n">
        <x:f>COUNTIF(I23:Q23,"●")+0.5*COUNTIF(I23:Q23,"△")</x:f>
        <x:v>7</x:v>
      </x:c>
      <x:c r="S23" s="32" t="str">
        <x:v>高耐圧LDO/Buck、PSR/SSRフライバック、PFC、LED、ゲートドライバー、MOSFET、GaN対応電源。</x:v>
      </x:c>
      <x:c r="T23" s="32" t="str">
        <x:v>中国の家電、照明、アダプター向け高耐圧BCD製品に強い。コスト重視のオフライン電源で競合。</x:v>
      </x:c>
      <x:c r="U23" s="32" t="str">
        <x:v>https://www.winsemi.com/en/products/</x:v>
      </x:c>
      <x:c r="V23" s="40" t="str">
        <x:v>2026-07-16</x:v>
      </x:c>
    </x:row>
    <x:row r="24" ht="58" customHeight="1">
      <x:c r="A24" s="32" t="str">
        <x:v>アジア</x:v>
      </x:c>
      <x:c r="B24" s="32" t="str">
        <x:v>韓国</x:v>
      </x:c>
      <x:c r="C24" s="32" t="str">
        <x:v>Magnachip Semiconductor</x:v>
      </x:c>
      <x:c r="D24" s="32" t="str">
        <x:v>独立企業</x:v>
      </x:c>
      <x:c r="E24" s="32" t="str">
        <x:v>https://www.magnachip.com/</x:v>
      </x:c>
      <x:c r="F24" s="32" t="str">
        <x:v>https://www.magnachip.com/product/power-solutions/</x:v>
      </x:c>
      <x:c r="G24" s="32" t="str">
        <x:v>ディスプレイIC＋パワー半導体</x:v>
      </x:c>
      <x:c r="H24" s="40" t="str">
        <x:v>●</x:v>
      </x:c>
      <x:c r="I24" s="40" t="str">
        <x:v>●</x:v>
      </x:c>
      <x:c r="J24" s="40" t="str">
        <x:v>●</x:v>
      </x:c>
      <x:c r="K24" s="40" t="str">
        <x:v>●</x:v>
      </x:c>
      <x:c r="L24" s="40" t="str">
        <x:v>—</x:v>
      </x:c>
      <x:c r="M24" s="40" t="str">
        <x:v>△</x:v>
      </x:c>
      <x:c r="N24" s="40" t="str">
        <x:v>●</x:v>
      </x:c>
      <x:c r="O24" s="40" t="str">
        <x:v>—</x:v>
      </x:c>
      <x:c r="P24" s="40" t="str">
        <x:v>—</x:v>
      </x:c>
      <x:c r="Q24" s="40" t="str">
        <x:v>●</x:v>
      </x:c>
      <x:c r="R24" s="42" t="n">
        <x:f>COUNTIF(I24:Q24,"●")+0.5*COUNTIF(I24:Q24,"△")</x:f>
        <x:v>5.5</x:v>
      </x:c>
      <x:c r="S24" s="32" t="str">
        <x:v>電源管理IC、LDO、DC-DC、LED/ディスプレイドライバー、ロードスイッチ、MOSFET、IGBT。</x:v>
      </x:c>
      <x:c r="T24" s="32" t="str">
        <x:v>OLEDディスプレイとパワー半導体の二本柱。韓国・中国のディスプレイ／民生サプライチェーンに強い。</x:v>
      </x:c>
      <x:c r="U24" s="32" t="str">
        <x:v>https://www.magnachip.com/product/power-solutions/</x:v>
      </x:c>
      <x:c r="V24" s="40" t="str">
        <x:v>2026-07-16</x:v>
      </x:c>
    </x:row>
    <x:row r="25" ht="58" customHeight="1">
      <x:c r="A25" s="32" t="str">
        <x:v>アジア</x:v>
      </x:c>
      <x:c r="B25" s="32" t="str">
        <x:v>韓国</x:v>
      </x:c>
      <x:c r="C25" s="32" t="str">
        <x:v>LX Semicon</x:v>
      </x:c>
      <x:c r="D25" s="32" t="str">
        <x:v>LGグループ系</x:v>
      </x:c>
      <x:c r="E25" s="32" t="str">
        <x:v>https://www.lxsemicon.com/</x:v>
      </x:c>
      <x:c r="F25" s="32" t="str">
        <x:v>https://www.lxsemicon.com/en/product/</x:v>
      </x:c>
      <x:c r="G25" s="32" t="str">
        <x:v>ディスプレイ／システムIC</x:v>
      </x:c>
      <x:c r="H25" s="40" t="str">
        <x:v>●</x:v>
      </x:c>
      <x:c r="I25" s="40" t="str">
        <x:v>●</x:v>
      </x:c>
      <x:c r="J25" s="40" t="str">
        <x:v>△</x:v>
      </x:c>
      <x:c r="K25" s="40" t="str">
        <x:v>●</x:v>
      </x:c>
      <x:c r="L25" s="40" t="str">
        <x:v>—</x:v>
      </x:c>
      <x:c r="M25" s="40" t="str">
        <x:v>—</x:v>
      </x:c>
      <x:c r="N25" s="40" t="str">
        <x:v>—</x:v>
      </x:c>
      <x:c r="O25" s="40" t="str">
        <x:v>—</x:v>
      </x:c>
      <x:c r="P25" s="40" t="str">
        <x:v>—</x:v>
      </x:c>
      <x:c r="Q25" s="40" t="str">
        <x:v>—</x:v>
      </x:c>
      <x:c r="R25" s="42" t="n">
        <x:f>COUNTIF(I25:Q25,"●")+0.5*COUNTIF(I25:Q25,"△")</x:f>
        <x:v>2.5</x:v>
      </x:c>
      <x:c r="S25" s="32" t="str">
        <x:v>ディスプレイドライバー、T-Con、PMIC、LEDバックライト、車載ディスプレイ電源・インターフェース。</x:v>
      </x:c>
      <x:c r="T25" s="32" t="str">
        <x:v>LG系ディスプレイエコシステムが基盤。OLED、TV、車載ディスプレイ向け高集積ICに強い。</x:v>
      </x:c>
      <x:c r="U25" s="32" t="str">
        <x:v>https://www.lxsemicon.com/en/product/</x:v>
      </x:c>
      <x:c r="V25" s="40" t="str">
        <x:v>2026-07-16</x:v>
      </x:c>
    </x:row>
    <x:row r="26" ht="58" customHeight="1">
      <x:c r="A26" s="32" t="str">
        <x:v>アジア</x:v>
      </x:c>
      <x:c r="B26" s="32" t="str">
        <x:v>韓国</x:v>
      </x:c>
      <x:c r="C26" s="32" t="str">
        <x:v>KEC Corporation</x:v>
      </x:c>
      <x:c r="D26" s="32" t="str">
        <x:v>独立企業</x:v>
      </x:c>
      <x:c r="E26" s="32" t="str">
        <x:v>https://www.keccorp.com/</x:v>
      </x:c>
      <x:c r="F26" s="32" t="str">
        <x:v>https://www.keccorp.com/en/product/product_value.asp?part_idx=8</x:v>
      </x:c>
      <x:c r="G26" s="32" t="str">
        <x:v>ディスクリート＋電源IC</x:v>
      </x:c>
      <x:c r="H26" s="40" t="str">
        <x:v>●</x:v>
      </x:c>
      <x:c r="I26" s="40" t="str">
        <x:v>●</x:v>
      </x:c>
      <x:c r="J26" s="40" t="str">
        <x:v>●</x:v>
      </x:c>
      <x:c r="K26" s="40" t="str">
        <x:v>△</x:v>
      </x:c>
      <x:c r="L26" s="40" t="str">
        <x:v>●</x:v>
      </x:c>
      <x:c r="M26" s="40" t="str">
        <x:v>●</x:v>
      </x:c>
      <x:c r="N26" s="40" t="str">
        <x:v>△</x:v>
      </x:c>
      <x:c r="O26" s="40" t="str">
        <x:v>—</x:v>
      </x:c>
      <x:c r="P26" s="40" t="str">
        <x:v>—</x:v>
      </x:c>
      <x:c r="Q26" s="40" t="str">
        <x:v>●</x:v>
      </x:c>
      <x:c r="R26" s="42" t="n">
        <x:f>COUNTIF(I26:Q26,"●")+0.5*COUNTIF(I26:Q26,"△")</x:f>
        <x:v>6</x:v>
      </x:c>
      <x:c r="S26" s="32" t="str">
        <x:v>LDO、DC-DC、AC-DC、ゲートドライバー、モーター／LED関連IC、MOSFET、IGBT、ダイオード、車載品。</x:v>
      </x:c>
      <x:c r="T26" s="32" t="str">
        <x:v>韓国系家電・車載顧客と標準ディスクリートが基盤。電源ICを加えた一括供給を進める。</x:v>
      </x:c>
      <x:c r="U26" s="32" t="str">
        <x:v>https://www.keccorp.com/en/product/product_value.asp?part_idx=8</x:v>
      </x:c>
      <x:c r="V26" s="40" t="str">
        <x:v>2026-07-16</x:v>
      </x:c>
    </x:row>
  </x:sheetData>
  <x:mergeCells>
    <x:mergeCell ref="A1:V1"/>
    <x:mergeCell ref="A2:V2"/>
  </x:mergeCells>
  <x:conditionalFormatting sqref="H4:Q26">
    <x:cfRule type="expression" dxfId="9" priority="1">
      <x:formula>H4="●"</x:formula>
    </x:cfRule>
    <x:cfRule type="expression" dxfId="10" priority="2">
      <x:formula>H4="△"</x:formula>
    </x:cfRule>
    <x:cfRule type="expression" dxfId="11" priority="3">
      <x:formula>H4="—"</x:formula>
    </x:cfRule>
  </x:conditionalFormatting>
  <x:pageMargins left="0.7" right="0.7" top="0.75" bottom="0.75" header="0.3" footer="0.3"/>
  <x:tableParts count="1">
    <x:tablePart xmlns:r="http://schemas.openxmlformats.org/officeDocument/2006/relationships" r:id="R6557c7a2dbcc4619"/>
  </x:tableParts>
</x:worksheet>
</file>

<file path=xl/worksheets/sheet6.xml><?xml version="1.0" encoding="utf-8"?>
<x:worksheet xmlns:x="http://schemas.openxmlformats.org/spreadsheetml/2006/main">
  <x:sheetFormatPr defaultRowHeight="15"/>
  <x:cols>
    <x:col min="1" max="1" width="24" hidden="0" customWidth="1"/>
    <x:col min="2" max="2" width="90" hidden="0" customWidth="1"/>
  </x:cols>
  <x:sheetData>
    <x:row r="1" ht="30" customHeight="1">
      <x:c r="A1" s="3" t="str">
        <x:v>調査方法・判定基準・注意事項</x:v>
      </x:c>
      <x:c r="B1" s="3"/>
      <x:c r="C1" s="3"/>
      <x:c r="D1" s="3"/>
      <x:c r="E1" s="3"/>
      <x:c r="F1" s="3"/>
      <x:c r="G1" s="3"/>
      <x:c r="H1" s="3"/>
    </x:row>
    <x:row r="3">
      <x:c r="A3" s="69" t="str">
        <x:v>項目</x:v>
      </x:c>
      <x:c r="B3" s="69" t="str">
        <x:v>内容</x:v>
      </x:c>
    </x:row>
    <x:row r="4" ht="58" customHeight="1">
      <x:c r="A4" s="70" t="str">
        <x:v>調査対象</x:v>
      </x:c>
      <x:c r="B4" s="70" t="str">
        <x:v>半導体企業または独立製品ブランドで、電源IC、LDO、LEDドライバー、AC-DC、ゲートドライバー、ロードスイッチ、理想ダイオード、GaN／パワーデバイスのいずれかを公開販売する企業。</x:v>
      </x:c>
    </x:row>
    <x:row r="5" ht="58" customHeight="1">
      <x:c r="A5" s="70" t="str">
        <x:v>除外対象</x:v>
      </x:c>
      <x:c r="B5" s="70" t="str">
        <x:v>純粋なファウンドリ、販売代理店、完成電源メーカー、LED素子のみの企業、製品情報を確認できない休眠企業は原則除外。</x:v>
      </x:c>
    </x:row>
    <x:row r="6" ht="58" customHeight="1">
      <x:c r="A6" s="70" t="str">
        <x:v>地域分類</x:v>
      </x:c>
      <x:c r="B6" s="70" t="str">
        <x:v>登記地だけでなく、実質的な本社・主要経営／開発拠点を基準に、米国・欧州・日本・アジア（日本除く）へ分類。</x:v>
      </x:c>
    </x:row>
    <x:row r="7" ht="58" customHeight="1">
      <x:c r="A7" s="70" t="str">
        <x:v>●の意味</x:v>
      </x:c>
      <x:c r="B7" s="70" t="str">
        <x:v>公式カタログで独立した製品カテゴリ、複数シリーズ、または主要戦略製品として明確に確認できる。</x:v>
      </x:c>
    </x:row>
    <x:row r="8" ht="58" customHeight="1">
      <x:c r="A8" s="70" t="str">
        <x:v>△の意味</x:v>
      </x:c>
      <x:c r="B8" s="70" t="str">
        <x:v>製品数が限定、特定用途への統合、モジュール／リファレンス中心、または主力カテゴリではない。</x:v>
      </x:c>
    </x:row>
    <x:row r="9" ht="58" customHeight="1">
      <x:c r="A9" s="70" t="str">
        <x:v>—の意味</x:v>
      </x:c>
      <x:c r="B9" s="70" t="str">
        <x:v>今回確認した公式公開カタログでは明確な独立製品群を確認できない。『技術的に不可能』を意味しない。</x:v>
      </x:c>
    </x:row>
    <x:row r="10" ht="58" customHeight="1">
      <x:c r="A10" s="70" t="str">
        <x:v>製品群幅スコア</x:v>
      </x:c>
      <x:c r="B10" s="70" t="str">
        <x:v>DC-DC～パワーディスクリートの9項目について、●＝1点、△＝0.5点でExcel数式により算出。企業規模や売上を示す指標ではない。</x:v>
      </x:c>
    </x:row>
    <x:row r="11" ht="58" customHeight="1">
      <x:c r="A11" s="70" t="str">
        <x:v>買収・ブランド統合</x:v>
      </x:c>
      <x:c r="B11" s="70" t="str">
        <x:v>Maxim/Linear→ADI、IR/GaN Systems→Infineon、Intersil/Dialog/Transphorm→Renesas等は親会社へ統合。市場で独立ブランド性が強いものは注記。</x:v>
      </x:c>
    </x:row>
    <x:row r="12" ht="58" customHeight="1">
      <x:c r="A12" s="70" t="str">
        <x:v>情報の時点</x:v>
      </x:c>
      <x:c r="B12" s="70" t="str">
        <x:v>2026-07-16時点の公式Web公開情報を中心に確認。製品廃止、買収完了、地域別販売可否、AEC-Q認証は必ず個別品番で再確認が必要。</x:v>
      </x:c>
    </x:row>
    <x:row r="13" ht="58" customHeight="1">
      <x:c r="A13" s="70" t="str">
        <x:v>活用方法</x:v>
      </x:c>
      <x:c r="B13" s="70" t="str">
        <x:v>競合ベンチマーク、ホワイトスペース分析、車載／非車載のターゲット選定、製品ロードマップ、M&amp;A／提携候補ロングリストの初期母集団として利用。</x:v>
      </x:c>
    </x:row>
    <x:row r="16">
      <x:c r="A16" s="69" t="str">
        <x:v>推奨する次段階分析</x:v>
      </x:c>
      <x:c r="B16" s="69" t="str">
        <x:v>具体的な分析軸</x:v>
      </x:c>
    </x:row>
    <x:row r="17" ht="52" customHeight="1">
      <x:c r="A17" s="70" t="str">
        <x:v>TAM/SAM/SOM</x:v>
      </x:c>
      <x:c r="B17" s="70" t="str">
        <x:v>車載照明、ゾーン配電、48V、USB-PD、AIサーバー、GaNアダプター等に分け、市場規模と成長率を重ねる。</x:v>
      </x:c>
    </x:row>
    <x:row r="18" ht="52" customHeight="1">
      <x:c r="A18" s="70" t="str">
        <x:v>製品比較</x:v>
      </x:c>
      <x:c r="B18" s="70" t="str">
        <x:v>VIN、VOUT、電流、IQ、効率、熱、保護、診断、機能安全、パッケージ、AEC-Q、価格を品番単位で比較。</x:v>
      </x:c>
    </x:row>
    <x:row r="19" ht="52" customHeight="1">
      <x:c r="A19" s="70" t="str">
        <x:v>競合強度</x:v>
      </x:c>
      <x:c r="B19" s="70" t="str">
        <x:v>製品幅、設計資産、プロセス、ファブ戦略、顧客基盤、チャネル、供給能力、アプリケーション支援をスコア化。</x:v>
      </x:c>
    </x:row>
    <x:row r="20" ht="52" customHeight="1">
      <x:c r="A20" s="70" t="str">
        <x:v>ホワイトスペース</x:v>
      </x:c>
      <x:c r="B20" s="70" t="str">
        <x:v>理想ダイオード、48Vスマートスイッチ、マルチフェーズ、GaN駆動統合、車載LED診断などの未充足ニーズを抽出。</x:v>
      </x:c>
    </x:row>
  </x:sheetData>
  <x:mergeCells>
    <x:mergeCell ref="A1:H1"/>
  </x:mergeCells>
  <x:pageMargins left="0.7" right="0.7" top="0.75" bottom="0.75" header="0.3" footer="0.3"/>
</x:worksheet>
</file>